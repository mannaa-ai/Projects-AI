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nmat.sharepoint.com/sites/MinistryofTourismTeam/Shared Documents/Proposals/هيئة السوق المالية/العرض المالي/"/>
    </mc:Choice>
  </mc:AlternateContent>
  <xr:revisionPtr revIDLastSave="30" documentId="8_{51A76CB6-672E-400D-A6B7-CC05FBBD71F9}" xr6:coauthVersionLast="47" xr6:coauthVersionMax="47" xr10:uidLastSave="{7B4F238B-17E1-450A-A296-85560D2D6925}"/>
  <bookViews>
    <workbookView xWindow="-108" yWindow="-108" windowWidth="23256" windowHeight="13896" firstSheet="1" activeTab="1" xr2:uid="{00000000-000D-0000-FFFF-FFFF00000000}"/>
  </bookViews>
  <sheets>
    <sheet name="BoQ" sheetId="5" state="hidden" r:id="rId1"/>
    <sheet name="BoQ (V1) " sheetId="11" r:id="rId2"/>
    <sheet name="Sheet3" sheetId="8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BoQ!$A$10:$F$75</definedName>
    <definedName name="_xlnm._FilterDatabase" localSheetId="1" hidden="1">'BoQ (V1) '!$A$10:$P$21</definedName>
    <definedName name="_xlcn.WorksheetConnection_BoQV2B10D70" hidden="1">'[1]BoQ (V2)'!$B$10:$D$150</definedName>
    <definedName name="BILL_TO_ADDRESS" localSheetId="0">'[2]MIS-02 (working)'!#REF!</definedName>
    <definedName name="BILL_TO_ADDRESS" localSheetId="1">'[2]MIS-02 (working)'!#REF!</definedName>
    <definedName name="BILL_TO_ADDRESS">'[2]MIS-02 (working)'!#REF!</definedName>
    <definedName name="BILL_TO_NAME" localSheetId="0">'[2]MIS-02 (working)'!#REF!</definedName>
    <definedName name="BILL_TO_NAME" localSheetId="1">'[2]MIS-02 (working)'!#REF!</definedName>
    <definedName name="BILL_TO_NAME">'[2]MIS-02 (working)'!#REF!</definedName>
    <definedName name="CATEGORY_LIST" localSheetId="0">[3]Control!#REF!</definedName>
    <definedName name="CATEGORY_LIST" localSheetId="1">[3]Control!#REF!</definedName>
    <definedName name="CATEGORY_LIST">#REF!</definedName>
    <definedName name="CFG_SUBTOTAL_ALL">'[2]MIS-02 (working)'!#REF!</definedName>
    <definedName name="CFG_SUBTOTAL_HW">'[2]MIS-02 (working)'!#REF!</definedName>
    <definedName name="CFG_SUBTOTAL_MW">'[2]MIS-02 (working)'!#REF!</definedName>
    <definedName name="CFG_SUBTOTAL_PS">'[2]MIS-02 (working)'!#REF!</definedName>
    <definedName name="CFG_SUBTOTAL_SECTION">'[2]MIS-02 (working)'!#REF!</definedName>
    <definedName name="CFG_SUBTOTAL_SW">'[2]MIS-02 (working)'!#REF!</definedName>
    <definedName name="ConversionRatio">'[4]Main Menu'!$E$8</definedName>
    <definedName name="CSI_SECTION_HW_BOT">'[2]MIS-02 (working)'!#REF!</definedName>
    <definedName name="CSI_SECTION_MW_BOT">'[2]MIS-02 (working)'!#REF!</definedName>
    <definedName name="CSI_SECTION_PS_BOT">'[2]MIS-02 (working)'!#REF!</definedName>
    <definedName name="CSI_SECTION_SW_BOT">'[2]MIS-02 (working)'!#REF!</definedName>
    <definedName name="CSI_SUBTOTAL_HW">'[2]MIS-02 (working)'!#REF!</definedName>
    <definedName name="CSI_SUBTOTAL_MW">'[2]MIS-02 (working)'!#REF!</definedName>
    <definedName name="CSI_SUBTOTAL_PS">'[2]MIS-02 (working)'!#REF!</definedName>
    <definedName name="CSI_SUBTOTAL_SW">'[2]MIS-02 (working)'!#REF!</definedName>
    <definedName name="Currency" localSheetId="0">#REF!</definedName>
    <definedName name="Currency" localSheetId="1">#REF!</definedName>
    <definedName name="Currency">#REF!</definedName>
    <definedName name="CurrencyNote" localSheetId="0">#REF!</definedName>
    <definedName name="CurrencyNote" localSheetId="1">#REF!</definedName>
    <definedName name="CurrencyNote">#REF!</definedName>
    <definedName name="Desc_Hardware" localSheetId="0">#REF!</definedName>
    <definedName name="Desc_Hardware" localSheetId="1">#REF!</definedName>
    <definedName name="Desc_Hardware">#REF!</definedName>
    <definedName name="Desc_Other" localSheetId="0">#REF!</definedName>
    <definedName name="Desc_Other" localSheetId="1">#REF!</definedName>
    <definedName name="Desc_Other">#REF!</definedName>
    <definedName name="Desc_Prerelease" localSheetId="0">#REF!</definedName>
    <definedName name="Desc_Prerelease" localSheetId="1">#REF!</definedName>
    <definedName name="Desc_Prerelease">#REF!</definedName>
    <definedName name="Desc_Promo" localSheetId="0">#REF!</definedName>
    <definedName name="Desc_Promo" localSheetId="1">#REF!</definedName>
    <definedName name="Desc_Promo">#REF!</definedName>
    <definedName name="Desc_Regular" localSheetId="0">#REF!</definedName>
    <definedName name="Desc_Regular" localSheetId="1">#REF!</definedName>
    <definedName name="Desc_Regular">#REF!</definedName>
    <definedName name="Desc_Services" localSheetId="0">#REF!</definedName>
    <definedName name="Desc_Services" localSheetId="1">#REF!</definedName>
    <definedName name="Desc_Services">#REF!</definedName>
    <definedName name="Desc_Upgrades" localSheetId="0">#REF!</definedName>
    <definedName name="Desc_Upgrades" localSheetId="1">#REF!</definedName>
    <definedName name="Desc_Upgrades">#REF!</definedName>
    <definedName name="discount" localSheetId="0">#REF!</definedName>
    <definedName name="discount" localSheetId="1">#REF!</definedName>
    <definedName name="discount">#REF!</definedName>
    <definedName name="DISTRIBUTER_LIST" localSheetId="0">[3]Control!#REF!</definedName>
    <definedName name="DISTRIBUTER_LIST" localSheetId="1">[3]Control!#REF!</definedName>
    <definedName name="DISTRIBUTER_LIST">#REF!</definedName>
    <definedName name="EMC_ADDRESS">'[2]MIS-02 (working)'!#REF!</definedName>
    <definedName name="g" localSheetId="0">#REF!</definedName>
    <definedName name="g" localSheetId="1">#REF!</definedName>
    <definedName name="g">#REF!</definedName>
    <definedName name="INSTALL_AT_ADDRESS">'[2]MIS-02 (working)'!#REF!</definedName>
    <definedName name="INSTALL_AT_NAME">'[2]MIS-02 (working)'!#REF!</definedName>
    <definedName name="Maint_Hardware" localSheetId="0">#REF!</definedName>
    <definedName name="Maint_Hardware" localSheetId="1">#REF!</definedName>
    <definedName name="Maint_Hardware">#REF!</definedName>
    <definedName name="Maint_Other" localSheetId="0">#REF!</definedName>
    <definedName name="Maint_Other" localSheetId="1">#REF!</definedName>
    <definedName name="Maint_Other">#REF!</definedName>
    <definedName name="Maint_Prerelease" localSheetId="0">#REF!</definedName>
    <definedName name="Maint_Prerelease" localSheetId="1">#REF!</definedName>
    <definedName name="Maint_Prerelease">#REF!</definedName>
    <definedName name="Maint_Promo" localSheetId="0">#REF!</definedName>
    <definedName name="Maint_Promo" localSheetId="1">#REF!</definedName>
    <definedName name="Maint_Promo">#REF!</definedName>
    <definedName name="Maint_Regular" localSheetId="0">#REF!</definedName>
    <definedName name="Maint_Regular" localSheetId="1">#REF!</definedName>
    <definedName name="Maint_Regular">#REF!</definedName>
    <definedName name="Maint_Services" localSheetId="0">#REF!</definedName>
    <definedName name="Maint_Services" localSheetId="1">#REF!</definedName>
    <definedName name="Maint_Services">#REF!</definedName>
    <definedName name="Maint_Upgrades" localSheetId="0">#REF!</definedName>
    <definedName name="Maint_Upgrades" localSheetId="1">#REF!</definedName>
    <definedName name="Maint_Upgrades">#REF!</definedName>
    <definedName name="Markup" localSheetId="0">#REF!</definedName>
    <definedName name="Markup" localSheetId="1">#REF!</definedName>
    <definedName name="Markup">#REF!</definedName>
    <definedName name="MISC_SECTION_HW_BOT">'[2]MIS-02 (working)'!#REF!</definedName>
    <definedName name="MISC_SECTION_SW_ALL">'[2]MIS-02 (working)'!#REF!</definedName>
    <definedName name="MISC_SECTION_SW_BOT">'[2]MIS-02 (working)'!#REF!</definedName>
    <definedName name="MISC_SECTION_SW_TOP">'[2]MIS-02 (working)'!#REF!</definedName>
    <definedName name="MISC_SUBTOTAL_HW">'[2]MIS-02 (working)'!#REF!</definedName>
    <definedName name="MISC_SUBTOTAL_PS">'[2]MIS-02 (working)'!#REF!</definedName>
    <definedName name="MISC_SUBTOTAL_SW">'[2]MIS-02 (working)'!#REF!</definedName>
    <definedName name="NetPrice_Hardware" localSheetId="0">#REF!</definedName>
    <definedName name="NetPrice_Hardware" localSheetId="1">#REF!</definedName>
    <definedName name="NetPrice_Hardware">#REF!</definedName>
    <definedName name="NetPrice_Other" localSheetId="0">#REF!</definedName>
    <definedName name="NetPrice_Other" localSheetId="1">#REF!</definedName>
    <definedName name="NetPrice_Other">#REF!</definedName>
    <definedName name="NetPrice_Prerelease" localSheetId="0">#REF!</definedName>
    <definedName name="NetPrice_Prerelease" localSheetId="1">#REF!</definedName>
    <definedName name="NetPrice_Prerelease">#REF!</definedName>
    <definedName name="NetPrice_Promo" localSheetId="0">#REF!</definedName>
    <definedName name="NetPrice_Promo" localSheetId="1">#REF!</definedName>
    <definedName name="NetPrice_Promo">#REF!</definedName>
    <definedName name="NetPrice_Regular" localSheetId="0">#REF!</definedName>
    <definedName name="NetPrice_Regular" localSheetId="1">#REF!</definedName>
    <definedName name="NetPrice_Regular">#REF!</definedName>
    <definedName name="NetPrice_Services" localSheetId="0">#REF!</definedName>
    <definedName name="NetPrice_Services" localSheetId="1">#REF!</definedName>
    <definedName name="NetPrice_Services">#REF!</definedName>
    <definedName name="NetPrice_Upgrades" localSheetId="0">#REF!</definedName>
    <definedName name="NetPrice_Upgrades" localSheetId="1">#REF!</definedName>
    <definedName name="NetPrice_Upgrades">#REF!</definedName>
    <definedName name="One_Time_Discount" localSheetId="0">#REF!</definedName>
    <definedName name="One_Time_Discount" localSheetId="1">#REF!</definedName>
    <definedName name="One_Time_Discount">#REF!</definedName>
    <definedName name="Percentage" localSheetId="0">#REF!</definedName>
    <definedName name="Percentage" localSheetId="1">#REF!</definedName>
    <definedName name="Percentage">#REF!</definedName>
    <definedName name="PRECONTRACT_FLD_CFG_NAME">'[2]MIS-02 (working)'!#REF!</definedName>
    <definedName name="PRECONTRACT_FLD_CSI_DESCIPTION">'[2]MIS-02 (working)'!#REF!</definedName>
    <definedName name="PRECONTRACT_FLD_CSI_NAME">'[2]MIS-02 (working)'!#REF!</definedName>
    <definedName name="PRECONTRACT_LINE">'[2]MIS-02 (working)'!#REF!</definedName>
    <definedName name="PRECONTRACT_SECTION_CFG_TITLE">'[2]MIS-02 (working)'!#REF!</definedName>
    <definedName name="PRECONTRACT_SECTION_CSI">'[2]MIS-02 (working)'!#REF!</definedName>
    <definedName name="pricing">'[5]Quote Sheet'!$A$9:$S$74</definedName>
    <definedName name="_xlnm.Print_Area" localSheetId="0">BoQ!$A$1:$F$9</definedName>
    <definedName name="_xlnm.Print_Area" localSheetId="1">'BoQ (V1) '!$A$1:$P$9</definedName>
    <definedName name="PROPOSAL_SECTION">'[2]MIS-02 (working)'!#REF!</definedName>
    <definedName name="PROPOSAL_SECTION_MW">'[2]MIS-02 (working)'!#REF!</definedName>
    <definedName name="PROPOSAL_SUBTOTAL_HW">'[2]MIS-02 (working)'!#REF!</definedName>
    <definedName name="PROPOSAL_SUBTOTAL_MW_HW">'[2]MIS-02 (working)'!#REF!</definedName>
    <definedName name="PROPOSAL_SUBTOTAL_MW_SW">'[2]MIS-02 (working)'!#REF!</definedName>
    <definedName name="PROPOSAL_SUBTOTAL_MW_WAR">'[2]MIS-02 (working)'!#REF!</definedName>
    <definedName name="PROPOSAL_SUBTOTAL_PS">'[2]MIS-02 (working)'!#REF!</definedName>
    <definedName name="PROPOSAL_SUBTOTAL_SW">'[2]MIS-02 (working)'!#REF!</definedName>
    <definedName name="Qty_Hardware" localSheetId="0">#REF!</definedName>
    <definedName name="Qty_Hardware" localSheetId="1">#REF!</definedName>
    <definedName name="Qty_Hardware">#REF!</definedName>
    <definedName name="Qty_Other" localSheetId="0">#REF!</definedName>
    <definedName name="Qty_Other" localSheetId="1">#REF!</definedName>
    <definedName name="Qty_Other">#REF!</definedName>
    <definedName name="Qty_Prerelease" localSheetId="0">#REF!</definedName>
    <definedName name="Qty_Prerelease" localSheetId="1">#REF!</definedName>
    <definedName name="Qty_Prerelease">#REF!</definedName>
    <definedName name="Qty_Promo" localSheetId="0">#REF!</definedName>
    <definedName name="Qty_Promo" localSheetId="1">#REF!</definedName>
    <definedName name="Qty_Promo">#REF!</definedName>
    <definedName name="Qty_Regular" localSheetId="0">#REF!</definedName>
    <definedName name="Qty_Regular" localSheetId="1">#REF!</definedName>
    <definedName name="Qty_Regular">#REF!</definedName>
    <definedName name="Qty_Services" localSheetId="0">#REF!</definedName>
    <definedName name="Qty_Services" localSheetId="1">#REF!</definedName>
    <definedName name="Qty_Services">#REF!</definedName>
    <definedName name="Qty_Upgrades" localSheetId="0">#REF!</definedName>
    <definedName name="Qty_Upgrades" localSheetId="1">#REF!</definedName>
    <definedName name="Qty_Upgrades">#REF!</definedName>
    <definedName name="Qty1_Customer_Name" localSheetId="0">#REF!</definedName>
    <definedName name="Qty1_Customer_Name" localSheetId="1">#REF!</definedName>
    <definedName name="Qty1_Customer_Name">#REF!</definedName>
    <definedName name="Qty1_Date" localSheetId="0">#REF!</definedName>
    <definedName name="Qty1_Date" localSheetId="1">#REF!</definedName>
    <definedName name="Qty1_Date">#REF!</definedName>
    <definedName name="QtyAdd_Customer_Name" localSheetId="0">#REF!</definedName>
    <definedName name="QtyAdd_Customer_Name" localSheetId="1">#REF!</definedName>
    <definedName name="QtyAdd_Customer_Name">#REF!</definedName>
    <definedName name="QtyAdd_Date" localSheetId="0">#REF!</definedName>
    <definedName name="QtyAdd_Date" localSheetId="1">#REF!</definedName>
    <definedName name="QtyAdd_Date">#REF!</definedName>
    <definedName name="REPORT_LINES_TO_FORMAT">'[2]MIS-02 (working)'!#REF!</definedName>
    <definedName name="REPORT_LINES_TO_FORMAT0">'[2]MIS-02 (working)'!#REF!</definedName>
    <definedName name="REPORT_TOTALS_TO_FORMAT" localSheetId="0">'[2]MIS-02 (working)'!#REF!,'[2]MIS-02 (working)'!#REF!</definedName>
    <definedName name="REPORT_TOTALS_TO_FORMAT" localSheetId="1">'[2]MIS-02 (working)'!#REF!,'[2]MIS-02 (working)'!#REF!</definedName>
    <definedName name="REPORT_TOTALS_TO_FORMAT">'[2]MIS-02 (working)'!#REF!,'[2]MIS-02 (working)'!#REF!</definedName>
    <definedName name="REPORT_TOTALS_TO_FORMAT0">'[2]MIS-02 (working)'!#REF!</definedName>
    <definedName name="REPORT_TOTALS_TO_FORMAT1">'[2]MIS-02 (working)'!#REF!</definedName>
    <definedName name="REPORT_TOTALS_TO_FORMAT2">'[2]MIS-02 (working)'!#REF!</definedName>
    <definedName name="REPORT_TOTALS_TO_FORMAT3">'[2]MIS-02 (working)'!#REF!</definedName>
    <definedName name="REPORT_TOTALS_TO_FORMAT4">'[2]MIS-02 (working)'!#REF!</definedName>
    <definedName name="REPORT_TOTALS_TO_FORMAT5">'[2]MIS-02 (working)'!#REF!</definedName>
    <definedName name="Resource_Cost" localSheetId="0">#REF!</definedName>
    <definedName name="Resource_Cost" localSheetId="1">#REF!</definedName>
    <definedName name="Resource_Cost">#REF!</definedName>
    <definedName name="ServiceCode">[4]Service!$A:$A</definedName>
    <definedName name="ServiceModel">#REF!</definedName>
    <definedName name="SHIP_TO_ADDRESS">'[2]MIS-02 (working)'!#REF!</definedName>
    <definedName name="SHIP_TO_NAME">'[2]MIS-02 (working)'!#REF!</definedName>
    <definedName name="Singapore_Dollars_Rate" localSheetId="0">#REF!</definedName>
    <definedName name="Singapore_Dollars_Rate" localSheetId="1">#REF!</definedName>
    <definedName name="Singapore_Dollars_Rate">#REF!</definedName>
    <definedName name="SOLD_TO_ADDRESS">'[2]MIS-02 (working)'!#REF!</definedName>
    <definedName name="SOLD_TO_NAME">'[2]MIS-02 (working)'!#REF!</definedName>
    <definedName name="Subtotal_Ext_List_Price" localSheetId="0">#REF!</definedName>
    <definedName name="Subtotal_Ext_List_Price" localSheetId="1">#REF!</definedName>
    <definedName name="Subtotal_Ext_List_Price">#REF!</definedName>
    <definedName name="Subtotal_Ext_Maint_Price" localSheetId="0">#REF!</definedName>
    <definedName name="Subtotal_Ext_Maint_Price" localSheetId="1">#REF!</definedName>
    <definedName name="Subtotal_Ext_Maint_Price">#REF!</definedName>
    <definedName name="SumQtyAdd_Hardware" localSheetId="0">#REF!</definedName>
    <definedName name="SumQtyAdd_Hardware" localSheetId="1">#REF!</definedName>
    <definedName name="SumQtyAdd_Hardware">#REF!</definedName>
    <definedName name="SumQtyAdd_Services" localSheetId="0">#REF!</definedName>
    <definedName name="SumQtyAdd_Services" localSheetId="1">#REF!</definedName>
    <definedName name="SumQtyAdd_Services">#REF!</definedName>
    <definedName name="SumQtyAdd_Software" localSheetId="0">#REF!</definedName>
    <definedName name="SumQtyAdd_Software" localSheetId="1">#REF!</definedName>
    <definedName name="SumQtyAdd_Software">#REF!</definedName>
    <definedName name="TAX_SECTION">'[2]MIS-02 (working)'!#REF!</definedName>
    <definedName name="TRADEIN_SECTION">'[2]MIS-02 (working)'!#REF!</definedName>
    <definedName name="TRADEIN_SECTION_TOTAL">'[2]MIS-02 (working)'!#REF!</definedName>
    <definedName name="Trial_Duration" localSheetId="0">#REF!</definedName>
    <definedName name="Trial_Duration" localSheetId="1">#REF!</definedName>
    <definedName name="Trial_Duration">#REF!</definedName>
    <definedName name="USListPrice">#REF!</definedName>
    <definedName name="ValidTo" localSheetId="0">#REF!</definedName>
    <definedName name="ValidTo" localSheetId="1">#REF!</definedName>
    <definedName name="ValidTo">#REF!</definedName>
    <definedName name="VENDOR_LIST" localSheetId="0">[3]Control!#REF!</definedName>
    <definedName name="VENDOR_LIST" localSheetId="1">[3]Control!#REF!</definedName>
    <definedName name="VENDOR_LIST">#REF!</definedName>
    <definedName name="VolPrice_Hardware" localSheetId="0">#REF!</definedName>
    <definedName name="VolPrice_Hardware" localSheetId="1">#REF!</definedName>
    <definedName name="VolPrice_Hardware">#REF!</definedName>
    <definedName name="VolPrice_Other" localSheetId="0">#REF!</definedName>
    <definedName name="VolPrice_Other" localSheetId="1">#REF!</definedName>
    <definedName name="VolPrice_Other">#REF!</definedName>
    <definedName name="VolPrice_Prerelease" localSheetId="0">#REF!</definedName>
    <definedName name="VolPrice_Prerelease" localSheetId="1">#REF!</definedName>
    <definedName name="VolPrice_Prerelease">#REF!</definedName>
    <definedName name="VolPrice_Promo" localSheetId="0">#REF!</definedName>
    <definedName name="VolPrice_Promo" localSheetId="1">#REF!</definedName>
    <definedName name="VolPrice_Promo">#REF!</definedName>
    <definedName name="VolPrice_Regular" localSheetId="0">#REF!</definedName>
    <definedName name="VolPrice_Regular" localSheetId="1">#REF!</definedName>
    <definedName name="VolPrice_Regular">#REF!</definedName>
    <definedName name="VolPrice_Services" localSheetId="0">#REF!</definedName>
    <definedName name="VolPrice_Services" localSheetId="1">#REF!</definedName>
    <definedName name="VolPrice_Services">#REF!</definedName>
    <definedName name="VolPrice_Upgrades" localSheetId="0">#REF!</definedName>
    <definedName name="VolPrice_Upgrades" localSheetId="1">#REF!</definedName>
    <definedName name="VolPrice_Upgrades">#REF!</definedName>
    <definedName name="Warranty">[4]Service!$E:$E</definedName>
  </definedNames>
  <calcPr calcId="191028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oQ (V2)!$B$10:$D$7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1" l="1"/>
  <c r="I20" i="11"/>
  <c r="I19" i="11"/>
  <c r="K19" i="11"/>
  <c r="L19" i="11" s="1"/>
  <c r="I16" i="11"/>
  <c r="E16" i="11" s="1"/>
  <c r="F16" i="11" s="1"/>
  <c r="I14" i="11"/>
  <c r="E14" i="11" s="1"/>
  <c r="F14" i="11" s="1"/>
  <c r="L16" i="11"/>
  <c r="L14" i="11"/>
  <c r="I12" i="11"/>
  <c r="E12" i="11" s="1"/>
  <c r="K20" i="11"/>
  <c r="L20" i="11" s="1"/>
  <c r="F12" i="11" l="1"/>
  <c r="F19" i="11" s="1"/>
  <c r="F20" i="11" s="1"/>
  <c r="F21" i="11" s="1"/>
  <c r="L21" i="11"/>
  <c r="I21" i="11" l="1"/>
  <c r="F73" i="5"/>
  <c r="F74" i="5"/>
  <c r="F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Q (V2)!$B$10:$D$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oQV2B10D70"/>
        </x15:connection>
      </ext>
    </extLst>
  </connection>
</connections>
</file>

<file path=xl/sharedStrings.xml><?xml version="1.0" encoding="utf-8"?>
<sst xmlns="http://schemas.openxmlformats.org/spreadsheetml/2006/main" count="218" uniqueCount="106">
  <si>
    <t>Customer:</t>
  </si>
  <si>
    <t>Sales Order #</t>
  </si>
  <si>
    <t>SR</t>
  </si>
  <si>
    <t>Attention:</t>
  </si>
  <si>
    <t xml:space="preserve">Project Name:                                                                            </t>
  </si>
  <si>
    <t>$ - SR</t>
  </si>
  <si>
    <t>Phone:</t>
  </si>
  <si>
    <t>Date:</t>
  </si>
  <si>
    <t>DISCOUNT</t>
  </si>
  <si>
    <t>Fax:</t>
  </si>
  <si>
    <t>Delivery Time</t>
  </si>
  <si>
    <t>SNT DIS</t>
  </si>
  <si>
    <t>Mobile:</t>
  </si>
  <si>
    <t>Installation Time</t>
  </si>
  <si>
    <t>Email:</t>
  </si>
  <si>
    <t>Collection Time</t>
  </si>
  <si>
    <t>SN</t>
  </si>
  <si>
    <t>PART NUMBER</t>
  </si>
  <si>
    <t>DESCRIPTION</t>
  </si>
  <si>
    <t>QTY</t>
  </si>
  <si>
    <t>UNIT PRICE</t>
  </si>
  <si>
    <t>TOTAL PRICE</t>
  </si>
  <si>
    <t>%</t>
  </si>
  <si>
    <t>GPL</t>
  </si>
  <si>
    <t>U-COST</t>
  </si>
  <si>
    <t>T-COST</t>
  </si>
  <si>
    <t>DISC.</t>
  </si>
  <si>
    <t>CAT.</t>
  </si>
  <si>
    <t>DISTI.</t>
  </si>
  <si>
    <t>VENDOR</t>
  </si>
  <si>
    <t>GRAND TOTAL (SR)</t>
  </si>
  <si>
    <t>VAT (15%)</t>
  </si>
  <si>
    <t>GRAND TOTAL WITH VAT</t>
  </si>
  <si>
    <t xml:space="preserve">Logitech
960-001312 </t>
  </si>
  <si>
    <t>WEBCAM - Logitech Rally Bar - GRAPHITE - USB - PLUGG - EMEA-914 - UK/HK</t>
  </si>
  <si>
    <t xml:space="preserve">Logitech
952-000041 </t>
  </si>
  <si>
    <t>TV Mount for Video Bars - N/A - N/A - N/A - WW-9004 - TV MOUNT</t>
  </si>
  <si>
    <t>Logitech
989-000430</t>
  </si>
  <si>
    <t>Rally Mic Pod accessory for the Logitech Rally Ultra-HD ConferenceCam - GRAPHITE - USB - N/A - WW-9004</t>
  </si>
  <si>
    <t>Logitech
939-001647</t>
  </si>
  <si>
    <t>Logitech Rally Mic Pod Hub for the Logitech Rally Ultra-HD ConferenceCam - GRAPHITE - USB - N/A - WW-9004 - MIC SPLITTER</t>
  </si>
  <si>
    <t>Logitech
952-000047</t>
  </si>
  <si>
    <t>Rally Mic Pod Extension Cable - OFF-WHITE - USB - N/A - WW-9004 - 10M EXTENSION CABLE</t>
  </si>
  <si>
    <t>Logitech
939-001950</t>
  </si>
  <si>
    <t>Logitech Tap with Cat5e Kit - NA - USB - N/A - WW-9004 - WITH RAICHU</t>
  </si>
  <si>
    <t>Logitech
960-001510</t>
  </si>
  <si>
    <t>WEBCAM - Logitech Sight - GRAPHITE - USB - N/A - WW-9004 - WEBCAM</t>
  </si>
  <si>
    <t>Logitech
960-001340</t>
  </si>
  <si>
    <t>WEBCAM - Logitech Rally Bar Mini - GRAPHITE - USB - PLUGG - EMEA-914 - UK/HK</t>
  </si>
  <si>
    <t>Jabra
7510-109</t>
  </si>
  <si>
    <t>Jabra SPEAK™ 510 MS Speakerphone for UC &amp; BT, USB Conference solution, 360-degree-microphone, Plug&amp;Play, mute and volume button, Wideband, Bluetooth (up to 100 meters), Microsoft optimized Version B: incl. Smart Button activated via Jabra</t>
  </si>
  <si>
    <t>Jabra
7810-209</t>
  </si>
  <si>
    <t>Jabra SPEAK™ 810 Speakerphone, best in Class Audio Conference Solution for medium sized meeting rooms up to 15 people, USB-BT-3.5mm AUX connections, powerful loudspeaker, ZoomTalk microphones (6), Plug&amp;Play, mute and volume button, USB cha</t>
  </si>
  <si>
    <t xml:space="preserve">1st Meeting Room 1A-01 </t>
  </si>
  <si>
    <t>2nd Meeting Room 1A-02 (15 users)</t>
  </si>
  <si>
    <t>A</t>
  </si>
  <si>
    <t>B</t>
  </si>
  <si>
    <t>3rd Meeting Room 1A-03 (8 users)</t>
  </si>
  <si>
    <t>4th Meeting Room 1A-04 (8 users)</t>
  </si>
  <si>
    <t>5th Meeting Room 1B-01 (15 users)</t>
  </si>
  <si>
    <t>6th Meeting Room 1B-02 (8 users)</t>
  </si>
  <si>
    <t>7th Meeting Room 1B-03 ( 6 users)</t>
  </si>
  <si>
    <t>8th Meeting Room 2B (8 users)</t>
  </si>
  <si>
    <t>Samsung QM75C</t>
  </si>
  <si>
    <t>UHD Signage Display, Slim &amp; Light Signage with Built-in MagicInfo S6, SSSP 6.0
Temperature Sensor,Pivot Display,
Clock Battery(168hrs Clock Keeping),
Built in Speaker(10W 2ch), Video
Wall Daisy Chain(HDCP2.2:4EA,HDCP1.4:
7EA), IP5x Rating, Wi-Fi/BT</t>
  </si>
  <si>
    <t>C</t>
  </si>
  <si>
    <t>D</t>
  </si>
  <si>
    <t>E</t>
  </si>
  <si>
    <t>F</t>
  </si>
  <si>
    <t>Additional Accessories</t>
  </si>
  <si>
    <t>G</t>
  </si>
  <si>
    <t>H</t>
  </si>
  <si>
    <t>J</t>
  </si>
  <si>
    <t>Professonal Services</t>
  </si>
  <si>
    <t>ANMAT - PS</t>
  </si>
  <si>
    <t>System installation, configuration &amp; commissioning without civil works</t>
  </si>
  <si>
    <t>CleverTouch
Pro 98-inch</t>
  </si>
  <si>
    <t>Vogel's PFW 6852</t>
  </si>
  <si>
    <t>Supports displays up to 136 kg (300 lbs). Typically fits displays larger than 40 inches. Extends up to 66 cm from the wall. Allows up to 90° of swivel to both sides. Provides a tilt range of -10° to +10°. Supports landscape orientation. TÜV certified for quality and safety</t>
  </si>
  <si>
    <t>OP1</t>
  </si>
  <si>
    <t>SAMSUNG QM98T</t>
  </si>
  <si>
    <t>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</t>
  </si>
  <si>
    <t xml:space="preserve">OPS core i7 </t>
  </si>
  <si>
    <t>98 inches with 4K UHD resolution (3840x2160 @60Hz), Android 9, 2 x 16W downward-facing speakers, Multiple USB 3.0 ports, HDMI inputs, and WiFi, Supports up to 50 devices for seamless content sharing with CleverShare, Built-in CleverLive for broadcasting messages and alerts, Dual recognition comfort stylus, room booking system integration, and optional Windows 10 Pro upgrade with Intel® OPS module</t>
  </si>
  <si>
    <t>Logitech 960-001681</t>
  </si>
  <si>
    <r>
      <t xml:space="preserve">WEBCAM - </t>
    </r>
    <r>
      <rPr>
        <b/>
        <sz val="10"/>
        <rFont val="Arial"/>
        <family val="2"/>
      </rPr>
      <t>MeetUp 2</t>
    </r>
    <r>
      <rPr>
        <sz val="10"/>
        <rFont val="Arial"/>
        <family val="2"/>
      </rPr>
      <t xml:space="preserve"> - GRAPHITE - USB 
- PLUGCG - (Do Not Use) WW-9006 - UK/EU</t>
    </r>
  </si>
  <si>
    <t>Logitech 952-000091</t>
  </si>
  <si>
    <t>Logitech Tap Scheduler - GRAPHITE - USB - N/A - WW-9004 - TOUCH SCREEN</t>
  </si>
  <si>
    <t>Extra Room Request</t>
  </si>
  <si>
    <t>Clevercam OPS PC i7- 1260P 16GB 512GB SSD Win11 PRO inc 1Yr RTB</t>
  </si>
  <si>
    <t>Sum of QTY</t>
  </si>
  <si>
    <t>WEBCAM - MeetUp 2 - GRAPHITE - USB 
- PLUGCG - (Do Not Use) WW-9006 - UK/EU</t>
  </si>
  <si>
    <t>Grand Total</t>
  </si>
  <si>
    <t>Logitech
952-000041</t>
  </si>
  <si>
    <t>Logitech
960-001312</t>
  </si>
  <si>
    <t>Customs</t>
  </si>
  <si>
    <t>المخرج</t>
  </si>
  <si>
    <t>الكمية</t>
  </si>
  <si>
    <t>سعر الوحدة</t>
  </si>
  <si>
    <t>الإجمالي</t>
  </si>
  <si>
    <t>م</t>
  </si>
  <si>
    <t>الوحدة</t>
  </si>
  <si>
    <t>خدمة</t>
  </si>
  <si>
    <t>إدارة ودعم برنامج قياس التحول الرقمي 2026 المرحلة الأولى والثانية</t>
  </si>
  <si>
    <t>إدارة ودعم برنامج قياس التحول الرقمي 2026 المرحلة الثالثة والرابعة</t>
  </si>
  <si>
    <t>إدارة ودعم برنامج قياس التحول الرقمي 2026 الخامسة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</si>
</sst>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u/>
      <sz val="7.5"/>
      <color indexed="12"/>
      <name val="Arial"/>
      <family val="2"/>
    </font>
    <font>
      <b/>
      <sz val="11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9F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56881"/>
        <bgColor indexed="64"/>
      </patternFill>
    </fill>
    <fill>
      <patternFill patternType="solid">
        <fgColor rgb="FFEEB4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1" fillId="0" borderId="0"/>
    <xf numFmtId="43" fontId="12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0" fontId="2" fillId="0" borderId="0"/>
  </cellStyleXfs>
  <cellXfs count="92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1" xfId="3" applyFont="1" applyFill="1" applyBorder="1" applyAlignment="1">
      <alignment vertical="center" wrapText="1"/>
    </xf>
    <xf numFmtId="0" fontId="2" fillId="2" borderId="0" xfId="3" applyFill="1" applyAlignment="1">
      <alignment horizontal="center" vertical="center" wrapText="1"/>
    </xf>
    <xf numFmtId="0" fontId="3" fillId="3" borderId="1" xfId="3" applyFont="1" applyFill="1" applyBorder="1" applyAlignment="1">
      <alignment vertical="center" wrapText="1"/>
    </xf>
    <xf numFmtId="43" fontId="4" fillId="4" borderId="5" xfId="4" applyFont="1" applyFill="1" applyBorder="1" applyAlignment="1">
      <alignment horizontal="center" vertical="center" wrapText="1"/>
    </xf>
    <xf numFmtId="0" fontId="2" fillId="2" borderId="6" xfId="3" applyFill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4" fillId="3" borderId="7" xfId="3" applyFont="1" applyFill="1" applyBorder="1" applyAlignment="1">
      <alignment vertical="center" wrapText="1"/>
    </xf>
    <xf numFmtId="0" fontId="3" fillId="3" borderId="7" xfId="3" applyFont="1" applyFill="1" applyBorder="1" applyAlignment="1">
      <alignment vertical="center" wrapText="1"/>
    </xf>
    <xf numFmtId="43" fontId="4" fillId="4" borderId="11" xfId="4" applyFont="1" applyFill="1" applyBorder="1" applyAlignment="1">
      <alignment horizontal="center" vertical="center" wrapText="1"/>
    </xf>
    <xf numFmtId="9" fontId="5" fillId="2" borderId="12" xfId="3" applyNumberFormat="1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vertical="center" wrapText="1"/>
    </xf>
    <xf numFmtId="0" fontId="3" fillId="3" borderId="13" xfId="3" applyFont="1" applyFill="1" applyBorder="1" applyAlignment="1">
      <alignment vertical="center" wrapText="1"/>
    </xf>
    <xf numFmtId="43" fontId="4" fillId="4" borderId="17" xfId="4" applyFont="1" applyFill="1" applyBorder="1" applyAlignment="1">
      <alignment horizontal="center" vertical="center" wrapText="1"/>
    </xf>
    <xf numFmtId="9" fontId="4" fillId="5" borderId="8" xfId="3" applyNumberFormat="1" applyFont="1" applyFill="1" applyBorder="1" applyAlignment="1">
      <alignment horizontal="center" vertical="center" wrapText="1"/>
    </xf>
    <xf numFmtId="9" fontId="9" fillId="8" borderId="8" xfId="6" applyFont="1" applyFill="1" applyBorder="1" applyAlignment="1">
      <alignment horizontal="center" vertical="center" wrapText="1"/>
    </xf>
    <xf numFmtId="43" fontId="2" fillId="9" borderId="8" xfId="4" applyFont="1" applyFill="1" applyBorder="1" applyAlignment="1">
      <alignment horizontal="right" vertical="center" wrapText="1"/>
    </xf>
    <xf numFmtId="9" fontId="2" fillId="0" borderId="8" xfId="2" applyFont="1" applyFill="1" applyBorder="1" applyAlignment="1">
      <alignment horizontal="center" vertical="center" wrapText="1"/>
    </xf>
    <xf numFmtId="43" fontId="8" fillId="6" borderId="8" xfId="1" applyFont="1" applyFill="1" applyBorder="1" applyAlignment="1">
      <alignment horizontal="center" vertical="center"/>
    </xf>
    <xf numFmtId="0" fontId="2" fillId="2" borderId="0" xfId="3" applyFill="1" applyAlignment="1">
      <alignment vertical="center"/>
    </xf>
    <xf numFmtId="0" fontId="6" fillId="2" borderId="0" xfId="3" applyFont="1" applyFill="1" applyAlignment="1">
      <alignment horizontal="left" vertical="center"/>
    </xf>
    <xf numFmtId="0" fontId="4" fillId="2" borderId="0" xfId="3" applyFont="1" applyFill="1" applyAlignment="1">
      <alignment horizontal="center" vertical="center"/>
    </xf>
    <xf numFmtId="43" fontId="2" fillId="0" borderId="8" xfId="4" applyFont="1" applyFill="1" applyBorder="1" applyAlignment="1">
      <alignment horizontal="center" vertical="center"/>
    </xf>
    <xf numFmtId="10" fontId="5" fillId="2" borderId="12" xfId="3" applyNumberFormat="1" applyFont="1" applyFill="1" applyBorder="1" applyAlignment="1">
      <alignment horizontal="center" vertical="center" wrapText="1"/>
    </xf>
    <xf numFmtId="43" fontId="2" fillId="2" borderId="0" xfId="3" applyNumberFormat="1" applyFill="1" applyAlignment="1">
      <alignment vertical="center" wrapText="1"/>
    </xf>
    <xf numFmtId="43" fontId="2" fillId="2" borderId="8" xfId="4" applyFont="1" applyFill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9" fontId="10" fillId="10" borderId="8" xfId="2" applyFont="1" applyFill="1" applyBorder="1" applyAlignment="1">
      <alignment horizontal="center" vertical="center" wrapText="1"/>
    </xf>
    <xf numFmtId="43" fontId="2" fillId="2" borderId="8" xfId="4" applyFont="1" applyFill="1" applyBorder="1" applyAlignment="1">
      <alignment horizontal="right" vertical="center" wrapText="1"/>
    </xf>
    <xf numFmtId="0" fontId="0" fillId="2" borderId="8" xfId="0" applyFill="1" applyBorder="1" applyAlignment="1">
      <alignment horizontal="left" vertical="top" wrapText="1"/>
    </xf>
    <xf numFmtId="0" fontId="2" fillId="2" borderId="8" xfId="3" applyFill="1" applyBorder="1" applyAlignment="1">
      <alignment horizontal="center" vertical="center" wrapText="1"/>
    </xf>
    <xf numFmtId="49" fontId="2" fillId="2" borderId="8" xfId="3" applyNumberFormat="1" applyFill="1" applyBorder="1" applyAlignment="1">
      <alignment horizontal="left" vertical="center" wrapText="1"/>
    </xf>
    <xf numFmtId="49" fontId="2" fillId="2" borderId="8" xfId="3" applyNumberFormat="1" applyFill="1" applyBorder="1" applyAlignment="1">
      <alignment vertical="center" wrapText="1"/>
    </xf>
    <xf numFmtId="0" fontId="8" fillId="6" borderId="8" xfId="0" quotePrefix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49" fontId="15" fillId="2" borderId="8" xfId="3" applyNumberFormat="1" applyFont="1" applyFill="1" applyBorder="1" applyAlignment="1">
      <alignment horizontal="left" vertical="center" wrapText="1"/>
    </xf>
    <xf numFmtId="49" fontId="15" fillId="2" borderId="8" xfId="3" applyNumberFormat="1" applyFont="1" applyFill="1" applyBorder="1" applyAlignment="1">
      <alignment vertical="center" wrapText="1"/>
    </xf>
    <xf numFmtId="0" fontId="15" fillId="2" borderId="8" xfId="3" applyFont="1" applyFill="1" applyBorder="1" applyAlignment="1">
      <alignment horizontal="center" vertical="center" wrapText="1"/>
    </xf>
    <xf numFmtId="43" fontId="15" fillId="2" borderId="8" xfId="4" applyFont="1" applyFill="1" applyBorder="1" applyAlignment="1">
      <alignment horizontal="right" vertical="center" wrapText="1"/>
    </xf>
    <xf numFmtId="43" fontId="15" fillId="2" borderId="8" xfId="4" applyFont="1" applyFill="1" applyBorder="1" applyAlignment="1">
      <alignment horizontal="center" vertical="center" wrapText="1"/>
    </xf>
    <xf numFmtId="43" fontId="17" fillId="7" borderId="10" xfId="4" applyFont="1" applyFill="1" applyBorder="1" applyAlignment="1">
      <alignment horizontal="center" vertical="center" wrapText="1"/>
    </xf>
    <xf numFmtId="43" fontId="17" fillId="7" borderId="18" xfId="4" applyFont="1" applyFill="1" applyBorder="1" applyAlignment="1">
      <alignment horizontal="center" vertical="center" wrapText="1"/>
    </xf>
    <xf numFmtId="43" fontId="17" fillId="7" borderId="19" xfId="4" applyFont="1" applyFill="1" applyBorder="1" applyAlignment="1">
      <alignment horizontal="center" vertical="center" wrapText="1"/>
    </xf>
    <xf numFmtId="0" fontId="15" fillId="2" borderId="0" xfId="3" applyFont="1" applyFill="1" applyAlignment="1">
      <alignment vertical="center" wrapText="1"/>
    </xf>
    <xf numFmtId="0" fontId="16" fillId="6" borderId="8" xfId="0" applyFont="1" applyFill="1" applyBorder="1" applyAlignment="1">
      <alignment horizontal="center" vertical="center"/>
    </xf>
    <xf numFmtId="0" fontId="0" fillId="0" borderId="0" xfId="0" pivotButton="1"/>
    <xf numFmtId="9" fontId="9" fillId="11" borderId="8" xfId="6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right" vertical="center" wrapText="1"/>
    </xf>
    <xf numFmtId="9" fontId="2" fillId="11" borderId="8" xfId="2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center" vertical="center"/>
    </xf>
    <xf numFmtId="0" fontId="4" fillId="3" borderId="0" xfId="3" applyFont="1" applyFill="1" applyAlignment="1">
      <alignment vertical="center" wrapText="1"/>
    </xf>
    <xf numFmtId="43" fontId="2" fillId="0" borderId="20" xfId="4" applyBorder="1" applyAlignment="1">
      <alignment horizontal="center" vertical="center"/>
    </xf>
    <xf numFmtId="9" fontId="9" fillId="8" borderId="20" xfId="6" applyFont="1" applyFill="1" applyBorder="1" applyAlignment="1">
      <alignment horizontal="center" vertical="center" wrapText="1"/>
    </xf>
    <xf numFmtId="43" fontId="2" fillId="9" borderId="20" xfId="4" applyFont="1" applyFill="1" applyBorder="1" applyAlignment="1">
      <alignment horizontal="center" vertical="center" wrapText="1"/>
    </xf>
    <xf numFmtId="9" fontId="2" fillId="0" borderId="20" xfId="2" applyFont="1" applyFill="1" applyBorder="1" applyAlignment="1">
      <alignment horizontal="center" vertical="center" wrapText="1"/>
    </xf>
    <xf numFmtId="49" fontId="18" fillId="11" borderId="8" xfId="3" applyNumberFormat="1" applyFont="1" applyFill="1" applyBorder="1" applyAlignment="1">
      <alignment horizontal="center" vertical="center" wrapText="1"/>
    </xf>
    <xf numFmtId="0" fontId="19" fillId="0" borderId="8" xfId="0" quotePrefix="1" applyFont="1" applyBorder="1" applyAlignment="1">
      <alignment horizontal="right" vertical="center" wrapText="1" readingOrder="2"/>
    </xf>
    <xf numFmtId="0" fontId="18" fillId="2" borderId="8" xfId="3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/>
    </xf>
    <xf numFmtId="0" fontId="20" fillId="6" borderId="20" xfId="0" applyFont="1" applyFill="1" applyBorder="1" applyAlignment="1">
      <alignment horizontal="center" vertical="center"/>
    </xf>
    <xf numFmtId="49" fontId="18" fillId="11" borderId="8" xfId="3" quotePrefix="1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2" fillId="2" borderId="2" xfId="3" applyFill="1" applyBorder="1" applyAlignment="1">
      <alignment vertical="center" wrapText="1"/>
    </xf>
    <xf numFmtId="0" fontId="2" fillId="2" borderId="3" xfId="3" applyFill="1" applyBorder="1" applyAlignment="1">
      <alignment vertical="center" wrapText="1"/>
    </xf>
    <xf numFmtId="0" fontId="2" fillId="2" borderId="4" xfId="3" applyFill="1" applyBorder="1" applyAlignment="1">
      <alignment horizontal="center" vertical="center" wrapText="1"/>
    </xf>
    <xf numFmtId="0" fontId="2" fillId="2" borderId="2" xfId="3" applyFill="1" applyBorder="1" applyAlignment="1">
      <alignment horizontal="center" vertical="center" wrapText="1"/>
    </xf>
    <xf numFmtId="0" fontId="2" fillId="2" borderId="8" xfId="3" applyFill="1" applyBorder="1" applyAlignment="1">
      <alignment vertical="center" wrapText="1"/>
    </xf>
    <xf numFmtId="0" fontId="2" fillId="2" borderId="9" xfId="3" applyFill="1" applyBorder="1" applyAlignment="1">
      <alignment vertical="center" wrapText="1"/>
    </xf>
    <xf numFmtId="0" fontId="2" fillId="2" borderId="8" xfId="3" applyFill="1" applyBorder="1" applyAlignment="1">
      <alignment horizontal="center" vertical="center" wrapText="1"/>
    </xf>
    <xf numFmtId="0" fontId="2" fillId="2" borderId="10" xfId="3" applyFill="1" applyBorder="1" applyAlignment="1">
      <alignment horizontal="center" vertical="center" wrapText="1"/>
    </xf>
    <xf numFmtId="0" fontId="2" fillId="2" borderId="8" xfId="3" quotePrefix="1" applyFill="1" applyBorder="1" applyAlignment="1">
      <alignment vertical="center" wrapText="1"/>
    </xf>
    <xf numFmtId="49" fontId="18" fillId="11" borderId="8" xfId="3" applyNumberFormat="1" applyFont="1" applyFill="1" applyBorder="1" applyAlignment="1">
      <alignment horizontal="center" vertical="center" wrapText="1"/>
    </xf>
    <xf numFmtId="0" fontId="7" fillId="2" borderId="14" xfId="5" applyFill="1" applyBorder="1" applyAlignment="1" applyProtection="1">
      <alignment vertical="center" wrapText="1"/>
    </xf>
    <xf numFmtId="0" fontId="2" fillId="2" borderId="15" xfId="3" applyFill="1" applyBorder="1" applyAlignment="1">
      <alignment vertical="center" wrapText="1"/>
    </xf>
    <xf numFmtId="0" fontId="2" fillId="2" borderId="14" xfId="3" applyFill="1" applyBorder="1" applyAlignment="1">
      <alignment horizontal="center" vertical="center" wrapText="1"/>
    </xf>
    <xf numFmtId="0" fontId="2" fillId="2" borderId="16" xfId="3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43" fontId="21" fillId="2" borderId="8" xfId="4" applyFont="1" applyFill="1" applyBorder="1" applyAlignment="1">
      <alignment horizontal="center" vertical="center" wrapText="1"/>
    </xf>
  </cellXfs>
  <cellStyles count="14">
    <cellStyle name="Comma" xfId="1" builtinId="3"/>
    <cellStyle name="Comma 2" xfId="10" xr:uid="{00000000-0005-0000-0000-000001000000}"/>
    <cellStyle name="Comma 2 2" xfId="4" xr:uid="{00000000-0005-0000-0000-000002000000}"/>
    <cellStyle name="Comma 2 3" xfId="12" xr:uid="{298C8E40-7BDE-47BC-B0E3-5D4EFC558725}"/>
    <cellStyle name="Comma 7" xfId="7" xr:uid="{00000000-0005-0000-0000-000003000000}"/>
    <cellStyle name="Hyperlink" xfId="5" builtinId="8"/>
    <cellStyle name="Normal" xfId="0" builtinId="0"/>
    <cellStyle name="Normal 2" xfId="9" xr:uid="{00000000-0005-0000-0000-000006000000}"/>
    <cellStyle name="Normal 2 2" xfId="8" xr:uid="{00000000-0005-0000-0000-000007000000}"/>
    <cellStyle name="Normal 2 4" xfId="3" xr:uid="{00000000-0005-0000-0000-000008000000}"/>
    <cellStyle name="Normal 3" xfId="11" xr:uid="{00000000-0005-0000-0000-000009000000}"/>
    <cellStyle name="Normal 4 2 2" xfId="13" xr:uid="{08BF1DD2-47F1-4DFC-B9F0-4171817A9295}"/>
    <cellStyle name="Percent" xfId="2" builtinId="5"/>
    <cellStyle name="Percent 3 2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Q%20(V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Desktop/Alaeddin%20Latest%20Copy/Quotations/July%2005,%202007/Documents%20and%20Settings/Abdul%20Rauf%20%20Chougle/My%20Documents/Rauf%20Quotations/2005/05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mat-my.sharepoint.com/personal/ahmed_hamdy_anmat_sa/Documents/ANMAT%202023/Projects/Riyadh%20Airports/Cisco%20Renewals%20-%208.2024/OK-2024-Q3-Q-Cisco%20Licenses-Riyadh%20Airports-Aug-18th.xlsx" TargetMode="External"/><Relationship Id="rId1" Type="http://schemas.openxmlformats.org/officeDocument/2006/relationships/externalLinkPath" Target="/personal/ahmed_hamdy_anmat_sa/Documents/ANMAT%202023/Projects/Riyadh%20Airports/Cisco%20Renewals%20-%208.2024/OK-2024-Q3-Q-Cisco%20Licenses-Riyadh%20Airports-Aug-18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ATL%20Priceli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User/Desktop/Alaeddin%20Latest%20Copy/Quotations/July%2005,%202007/Documents%20and%20Settings/Abdul%20Rauf%20%20Chougle/Local%20Settings/Temporary%20Internet%20Files/OLK40C/Quote%20Sheet%20V5-0.xls%20-%20300%20and%20400%20Trays.xls?6C6C31AA" TargetMode="External"/><Relationship Id="rId1" Type="http://schemas.openxmlformats.org/officeDocument/2006/relationships/externalLinkPath" Target="file:///\\6C6C31AA\Quote%20Sheet%20V5-0.xls%20-%20300%20and%20400%20Tra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V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03"/>
      <sheetName val="IMTAC-02"/>
      <sheetName val="AGS-01"/>
      <sheetName val="Oasis-02"/>
      <sheetName val="CP-02"/>
      <sheetName val="OS-01"/>
      <sheetName val="DUC-01"/>
      <sheetName val="TGT-04"/>
      <sheetName val="TGT-03"/>
      <sheetName val="TGT-02"/>
      <sheetName val="DGCE-01"/>
      <sheetName val="YCC-02"/>
      <sheetName val="OCS-02"/>
      <sheetName val="ITS-01"/>
      <sheetName val="YCC-01"/>
      <sheetName val="CP-01"/>
      <sheetName val="CP-01 Working"/>
      <sheetName val="QCS-03"/>
      <sheetName val="KRCCS-01"/>
      <sheetName val="Symphony-01"/>
      <sheetName val="SC-01"/>
      <sheetName val="CDN-01"/>
      <sheetName val="IMG-01"/>
      <sheetName val="New Format"/>
      <sheetName val="PROTECH-01"/>
      <sheetName val="AlFalak-01"/>
      <sheetName val="MIS-02"/>
      <sheetName val="MIS-02 (working)"/>
      <sheetName val="OCS-01"/>
      <sheetName val="QCS-02"/>
      <sheetName val="CP-01 ALICO"/>
      <sheetName val="Oasis-01"/>
      <sheetName val="SI0512-11"/>
      <sheetName val="DynCorp-01"/>
      <sheetName val="IMTAC-01"/>
      <sheetName val="QCS-01"/>
      <sheetName val="MIS-01"/>
      <sheetName val="CP-00"/>
      <sheetName val="ALICO"/>
      <sheetName val="INC-01"/>
      <sheetName val="Oxy-01"/>
      <sheetName val="TGT-01"/>
      <sheetName val="Blank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"/>
      <sheetName val="Contro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Price Book"/>
      <sheetName val="Discounts"/>
      <sheetName val="Service"/>
      <sheetName val="Notes"/>
    </sheetNames>
    <sheetDataSet>
      <sheetData sheetId="0" refreshError="1">
        <row r="8">
          <cell r="E8">
            <v>1</v>
          </cell>
        </row>
      </sheetData>
      <sheetData sheetId="1" refreshError="1"/>
      <sheetData sheetId="2" refreshError="1"/>
      <sheetData sheetId="3" refreshError="1">
        <row r="2">
          <cell r="A2" t="str">
            <v>Service Code</v>
          </cell>
          <cell r="E2" t="str">
            <v>Warranty</v>
          </cell>
        </row>
        <row r="3">
          <cell r="A3" t="str">
            <v>ACC01</v>
          </cell>
          <cell r="E3" t="str">
            <v>None</v>
          </cell>
        </row>
        <row r="4">
          <cell r="A4" t="str">
            <v>ACC02</v>
          </cell>
          <cell r="E4" t="str">
            <v>30d APR</v>
          </cell>
        </row>
        <row r="5">
          <cell r="A5" t="str">
            <v>ACC03</v>
          </cell>
          <cell r="E5" t="str">
            <v>30d ND</v>
          </cell>
        </row>
        <row r="6">
          <cell r="A6" t="str">
            <v>ACC04</v>
          </cell>
          <cell r="E6" t="str">
            <v>1yr ND</v>
          </cell>
        </row>
        <row r="7">
          <cell r="A7" t="str">
            <v>ACC05</v>
          </cell>
          <cell r="E7" t="str">
            <v>30d APR</v>
          </cell>
        </row>
        <row r="8">
          <cell r="A8" t="str">
            <v>AOT</v>
          </cell>
        </row>
        <row r="9">
          <cell r="A9" t="str">
            <v>ASCV</v>
          </cell>
        </row>
        <row r="10">
          <cell r="A10" t="str">
            <v>ATL2640</v>
          </cell>
          <cell r="E10" t="str">
            <v>Out of Warranty</v>
          </cell>
        </row>
        <row r="11">
          <cell r="A11" t="str">
            <v>ATL520</v>
          </cell>
          <cell r="E11" t="str">
            <v>Out of Warranty</v>
          </cell>
        </row>
        <row r="12">
          <cell r="A12" t="str">
            <v>ATL7100</v>
          </cell>
          <cell r="E12" t="str">
            <v>1yr ND</v>
          </cell>
        </row>
        <row r="13">
          <cell r="A13" t="str">
            <v>CIF</v>
          </cell>
        </row>
        <row r="14">
          <cell r="A14" t="str">
            <v>CR4200</v>
          </cell>
          <cell r="E14" t="str">
            <v>Out of Warranty</v>
          </cell>
        </row>
        <row r="15">
          <cell r="A15" t="str">
            <v>FAOUC</v>
          </cell>
          <cell r="E15" t="str">
            <v>30d ND</v>
          </cell>
        </row>
        <row r="16">
          <cell r="A16" t="str">
            <v>FAOUCAH</v>
          </cell>
        </row>
        <row r="17">
          <cell r="A17" t="str">
            <v>FCICCFAC</v>
          </cell>
          <cell r="E17" t="str">
            <v>1yr ND</v>
          </cell>
        </row>
        <row r="18">
          <cell r="A18" t="str">
            <v>FCICCFIK</v>
          </cell>
          <cell r="E18" t="str">
            <v>30d ND</v>
          </cell>
        </row>
        <row r="19">
          <cell r="A19" t="str">
            <v>L200</v>
          </cell>
          <cell r="E19" t="str">
            <v>3yr RE</v>
          </cell>
        </row>
        <row r="20">
          <cell r="A20" t="str">
            <v>L500</v>
          </cell>
          <cell r="E20" t="str">
            <v>3yr RE</v>
          </cell>
        </row>
        <row r="21">
          <cell r="A21" t="str">
            <v>L500-1</v>
          </cell>
          <cell r="E21" t="str">
            <v>3yr RE</v>
          </cell>
        </row>
        <row r="22">
          <cell r="A22" t="str">
            <v>L500-2</v>
          </cell>
          <cell r="E22" t="str">
            <v>3yr RE</v>
          </cell>
        </row>
        <row r="23">
          <cell r="A23" t="str">
            <v>L500-3</v>
          </cell>
          <cell r="E23" t="str">
            <v>3yr RE</v>
          </cell>
        </row>
        <row r="24">
          <cell r="A24" t="str">
            <v>LV200</v>
          </cell>
          <cell r="E24" t="str">
            <v>3yr RE</v>
          </cell>
        </row>
        <row r="25">
          <cell r="A25" t="str">
            <v>M1500</v>
          </cell>
          <cell r="E25" t="str">
            <v>3yr RE</v>
          </cell>
        </row>
        <row r="26">
          <cell r="A26" t="str">
            <v>M1500-PCSC-AC</v>
          </cell>
        </row>
        <row r="27">
          <cell r="A27" t="str">
            <v>NBUIS</v>
          </cell>
        </row>
        <row r="28">
          <cell r="A28" t="str">
            <v>NDTUK</v>
          </cell>
          <cell r="E28" t="str">
            <v>30d ND</v>
          </cell>
        </row>
        <row r="29">
          <cell r="A29" t="str">
            <v>P1000</v>
          </cell>
          <cell r="E29" t="str">
            <v>1yr ND</v>
          </cell>
        </row>
        <row r="30">
          <cell r="A30" t="str">
            <v>P2000</v>
          </cell>
          <cell r="E30" t="str">
            <v>1yr ND</v>
          </cell>
        </row>
        <row r="31">
          <cell r="A31" t="str">
            <v>P2000AF</v>
          </cell>
          <cell r="E31" t="str">
            <v>1yr ND</v>
          </cell>
        </row>
        <row r="32">
          <cell r="A32" t="str">
            <v>P2000FEN</v>
          </cell>
          <cell r="E32" t="str">
            <v>1yr ND</v>
          </cell>
        </row>
        <row r="33">
          <cell r="A33" t="str">
            <v>P3000</v>
          </cell>
          <cell r="E33" t="str">
            <v>1yr ND</v>
          </cell>
        </row>
        <row r="34">
          <cell r="A34" t="str">
            <v>P3000AF</v>
          </cell>
          <cell r="E34" t="str">
            <v>1yr ND</v>
          </cell>
        </row>
        <row r="35">
          <cell r="A35" t="str">
            <v>P3000FEN</v>
          </cell>
          <cell r="E35" t="str">
            <v>1yr ND</v>
          </cell>
        </row>
        <row r="36">
          <cell r="A36" t="str">
            <v>P3000HYB</v>
          </cell>
          <cell r="E36" t="str">
            <v>1yr ND</v>
          </cell>
        </row>
        <row r="37">
          <cell r="A37" t="str">
            <v>P6000</v>
          </cell>
          <cell r="E37" t="str">
            <v>1yr ND</v>
          </cell>
        </row>
        <row r="38">
          <cell r="A38" t="str">
            <v>PL50</v>
          </cell>
          <cell r="E38" t="str">
            <v>1yr ND</v>
          </cell>
        </row>
        <row r="39">
          <cell r="A39" t="str">
            <v>S101</v>
          </cell>
        </row>
        <row r="40">
          <cell r="A40" t="str">
            <v>S201</v>
          </cell>
        </row>
        <row r="41">
          <cell r="A41" t="str">
            <v>SBSF</v>
          </cell>
          <cell r="E41" t="str">
            <v>1yr ND</v>
          </cell>
        </row>
        <row r="42">
          <cell r="A42" t="str">
            <v>STORLINK</v>
          </cell>
          <cell r="E42" t="str">
            <v>Out of Warranty</v>
          </cell>
        </row>
        <row r="43">
          <cell r="A43" t="str">
            <v>SURVEY</v>
          </cell>
        </row>
        <row r="44">
          <cell r="A44" t="str">
            <v>TDNDFAC</v>
          </cell>
          <cell r="E44" t="str">
            <v>1yr ND</v>
          </cell>
        </row>
        <row r="45">
          <cell r="A45" t="str">
            <v>TDNDFIK</v>
          </cell>
          <cell r="E45" t="str">
            <v>30d ND</v>
          </cell>
        </row>
        <row r="46">
          <cell r="A46" t="str">
            <v>TDREFAC</v>
          </cell>
          <cell r="E46" t="str">
            <v>3yr RE</v>
          </cell>
        </row>
        <row r="47">
          <cell r="A47" t="str">
            <v>TDREFIK</v>
          </cell>
          <cell r="E47" t="str">
            <v>30d ND</v>
          </cell>
        </row>
        <row r="48">
          <cell r="A48" t="str">
            <v>TM</v>
          </cell>
        </row>
        <row r="49">
          <cell r="A49" t="str">
            <v>TTS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Quote Sheet"/>
      <sheetName val="Summary 1"/>
      <sheetName val="Summary 2"/>
      <sheetName val="Summary 3"/>
      <sheetName val="QLOG extract"/>
    </sheetNames>
    <sheetDataSet>
      <sheetData sheetId="0" refreshError="1"/>
      <sheetData sheetId="1" refreshError="1">
        <row r="9">
          <cell r="A9">
            <v>1</v>
          </cell>
          <cell r="B9" t="str">
            <v>FLA300</v>
          </cell>
          <cell r="C9">
            <v>8704</v>
          </cell>
          <cell r="D9">
            <v>3399</v>
          </cell>
          <cell r="E9">
            <v>8704</v>
          </cell>
          <cell r="F9">
            <v>1</v>
          </cell>
          <cell r="G9" t="str">
            <v>FLA3001-0000</v>
          </cell>
          <cell r="H9" t="str">
            <v>FLA300 ACCESS-CEN SWITCH ARRAY</v>
          </cell>
          <cell r="I9">
            <v>1</v>
          </cell>
          <cell r="M9">
            <v>8704</v>
          </cell>
          <cell r="N9">
            <v>0</v>
          </cell>
          <cell r="O9">
            <v>8704</v>
          </cell>
          <cell r="P9">
            <v>3399</v>
          </cell>
          <cell r="Q9">
            <v>0.60948988970588236</v>
          </cell>
          <cell r="R9">
            <v>0.60948988970588236</v>
          </cell>
        </row>
        <row r="10">
          <cell r="A10">
            <v>2</v>
          </cell>
          <cell r="B10" t="str">
            <v>FLA300</v>
          </cell>
          <cell r="C10">
            <v>0</v>
          </cell>
          <cell r="D10">
            <v>0</v>
          </cell>
          <cell r="E10">
            <v>0</v>
          </cell>
          <cell r="F10">
            <v>2</v>
          </cell>
          <cell r="G10" t="str">
            <v>FLA3001-9901</v>
          </cell>
          <cell r="H10" t="str">
            <v>RACK MOUNTING</v>
          </cell>
          <cell r="I10">
            <v>1</v>
          </cell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>
            <v>3</v>
          </cell>
          <cell r="B11" t="str">
            <v>FLA300</v>
          </cell>
          <cell r="C11">
            <v>0</v>
          </cell>
          <cell r="D11">
            <v>4</v>
          </cell>
          <cell r="E11">
            <v>0</v>
          </cell>
          <cell r="F11">
            <v>3</v>
          </cell>
          <cell r="G11" t="str">
            <v>FLA3001-ALRM</v>
          </cell>
          <cell r="H11" t="str">
            <v>AUDIBLE ALARM</v>
          </cell>
          <cell r="I11">
            <v>1</v>
          </cell>
          <cell r="M11">
            <v>0</v>
          </cell>
          <cell r="N11"/>
          <cell r="O11">
            <v>0</v>
          </cell>
          <cell r="P11">
            <v>4</v>
          </cell>
          <cell r="Q11">
            <v>0</v>
          </cell>
          <cell r="R11">
            <v>0</v>
          </cell>
        </row>
        <row r="12">
          <cell r="A12">
            <v>4</v>
          </cell>
          <cell r="B12" t="str">
            <v>FLA300</v>
          </cell>
          <cell r="C12">
            <v>117</v>
          </cell>
          <cell r="D12">
            <v>201</v>
          </cell>
          <cell r="E12">
            <v>117</v>
          </cell>
          <cell r="F12">
            <v>4</v>
          </cell>
          <cell r="G12" t="str">
            <v>FLA3001-AR01</v>
          </cell>
          <cell r="H12" t="str">
            <v>ADJUSTABLE RACK RAILS</v>
          </cell>
          <cell r="I12">
            <v>1</v>
          </cell>
          <cell r="M12">
            <v>117</v>
          </cell>
          <cell r="N12">
            <v>0</v>
          </cell>
          <cell r="O12">
            <v>117</v>
          </cell>
          <cell r="P12">
            <v>201</v>
          </cell>
          <cell r="Q12">
            <v>-0.71794871794871784</v>
          </cell>
          <cell r="R12">
            <v>-0.71794871794871784</v>
          </cell>
        </row>
        <row r="13">
          <cell r="A13">
            <v>5</v>
          </cell>
          <cell r="B13" t="str">
            <v>FLA300</v>
          </cell>
          <cell r="C13">
            <v>15435</v>
          </cell>
          <cell r="D13">
            <v>4326</v>
          </cell>
          <cell r="E13">
            <v>15435</v>
          </cell>
          <cell r="F13">
            <v>5</v>
          </cell>
          <cell r="G13" t="str">
            <v>FLA3001-F46E</v>
          </cell>
          <cell r="H13" t="str">
            <v>14 300GB 10K FIBRE DRIVES</v>
          </cell>
          <cell r="I13">
            <v>1</v>
          </cell>
          <cell r="M13">
            <v>15435</v>
          </cell>
          <cell r="N13">
            <v>0</v>
          </cell>
          <cell r="O13">
            <v>15435</v>
          </cell>
          <cell r="P13">
            <v>9240</v>
          </cell>
          <cell r="Q13">
            <v>0.40136054421768708</v>
          </cell>
          <cell r="R13">
            <v>0.40136054421768708</v>
          </cell>
        </row>
        <row r="14">
          <cell r="A14">
            <v>5</v>
          </cell>
          <cell r="B14"/>
          <cell r="C14"/>
          <cell r="D14"/>
          <cell r="E14"/>
          <cell r="F14">
            <v>5</v>
          </cell>
          <cell r="M14"/>
          <cell r="N14"/>
          <cell r="O14"/>
          <cell r="P14"/>
          <cell r="Q14">
            <v>0</v>
          </cell>
          <cell r="R14">
            <v>0</v>
          </cell>
        </row>
        <row r="15">
          <cell r="A15">
            <v>5</v>
          </cell>
          <cell r="B15"/>
          <cell r="C15"/>
          <cell r="D15"/>
          <cell r="E15"/>
          <cell r="F15">
            <v>5</v>
          </cell>
          <cell r="M15"/>
          <cell r="N15"/>
          <cell r="O15"/>
          <cell r="P15"/>
          <cell r="Q15">
            <v>0</v>
          </cell>
          <cell r="R15">
            <v>0</v>
          </cell>
        </row>
        <row r="16">
          <cell r="A16">
            <v>6</v>
          </cell>
          <cell r="B16" t="str">
            <v>FLC200</v>
          </cell>
          <cell r="C16">
            <v>5803</v>
          </cell>
          <cell r="D16">
            <v>2782</v>
          </cell>
          <cell r="E16">
            <v>5803</v>
          </cell>
          <cell r="F16">
            <v>6</v>
          </cell>
          <cell r="G16" t="str">
            <v>B200001-0000</v>
          </cell>
          <cell r="H16" t="str">
            <v>2GB 14 SLOT SATA DISK ARRAY</v>
          </cell>
          <cell r="I16">
            <v>1</v>
          </cell>
          <cell r="M16">
            <v>5803</v>
          </cell>
          <cell r="N16">
            <v>0</v>
          </cell>
          <cell r="O16">
            <v>5803</v>
          </cell>
          <cell r="P16">
            <v>2782</v>
          </cell>
          <cell r="Q16">
            <v>0.52059279682922632</v>
          </cell>
          <cell r="R16">
            <v>0.52059279682922632</v>
          </cell>
        </row>
        <row r="17">
          <cell r="A17">
            <v>7</v>
          </cell>
          <cell r="B17" t="str">
            <v>FLC200</v>
          </cell>
          <cell r="C17">
            <v>0</v>
          </cell>
          <cell r="D17">
            <v>0</v>
          </cell>
          <cell r="E17">
            <v>0</v>
          </cell>
          <cell r="F17">
            <v>7</v>
          </cell>
          <cell r="G17" t="str">
            <v>B200001-9901</v>
          </cell>
          <cell r="H17" t="str">
            <v>RACK MOUNTING</v>
          </cell>
          <cell r="I17">
            <v>1</v>
          </cell>
          <cell r="M17">
            <v>0</v>
          </cell>
          <cell r="N17"/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8</v>
          </cell>
          <cell r="B18" t="str">
            <v>FLC200</v>
          </cell>
          <cell r="C18">
            <v>7718</v>
          </cell>
          <cell r="D18">
            <v>2898</v>
          </cell>
          <cell r="E18">
            <v>7718</v>
          </cell>
          <cell r="F18">
            <v>8</v>
          </cell>
          <cell r="G18" t="str">
            <v>B200001-A25E</v>
          </cell>
          <cell r="H18" t="str">
            <v>14 400GB 7.2K SATA DRV</v>
          </cell>
          <cell r="I18">
            <v>1</v>
          </cell>
          <cell r="M18">
            <v>7718</v>
          </cell>
          <cell r="N18">
            <v>0</v>
          </cell>
          <cell r="O18">
            <v>7718</v>
          </cell>
          <cell r="P18">
            <v>5110</v>
          </cell>
          <cell r="Q18">
            <v>0.33791137600414611</v>
          </cell>
          <cell r="R18">
            <v>0.33791137600414611</v>
          </cell>
        </row>
        <row r="19">
          <cell r="A19">
            <v>9</v>
          </cell>
          <cell r="B19" t="str">
            <v>FLC200</v>
          </cell>
          <cell r="C19">
            <v>0</v>
          </cell>
          <cell r="D19">
            <v>4</v>
          </cell>
          <cell r="E19">
            <v>0</v>
          </cell>
          <cell r="F19">
            <v>9</v>
          </cell>
          <cell r="G19" t="str">
            <v>B200001-ALRM</v>
          </cell>
          <cell r="H19" t="str">
            <v>AUDIBLE ALARM</v>
          </cell>
          <cell r="I19">
            <v>1</v>
          </cell>
          <cell r="M19">
            <v>0</v>
          </cell>
          <cell r="N19"/>
          <cell r="O19">
            <v>0</v>
          </cell>
          <cell r="P19">
            <v>4</v>
          </cell>
          <cell r="Q19">
            <v>0</v>
          </cell>
          <cell r="R19">
            <v>0</v>
          </cell>
        </row>
        <row r="20">
          <cell r="A20">
            <v>10</v>
          </cell>
          <cell r="B20" t="str">
            <v>FLC200</v>
          </cell>
          <cell r="C20">
            <v>117</v>
          </cell>
          <cell r="D20">
            <v>201</v>
          </cell>
          <cell r="E20">
            <v>117</v>
          </cell>
          <cell r="F20">
            <v>10</v>
          </cell>
          <cell r="G20" t="str">
            <v>B200001-AR01</v>
          </cell>
          <cell r="H20" t="str">
            <v>ADJUSTABLE RACK RAILS</v>
          </cell>
          <cell r="I20">
            <v>1</v>
          </cell>
          <cell r="M20">
            <v>117</v>
          </cell>
          <cell r="N20">
            <v>0</v>
          </cell>
          <cell r="O20">
            <v>117</v>
          </cell>
          <cell r="P20">
            <v>201</v>
          </cell>
          <cell r="Q20">
            <v>-0.71794871794871784</v>
          </cell>
          <cell r="R20">
            <v>-0.71794871794871784</v>
          </cell>
        </row>
        <row r="21">
          <cell r="A21">
            <v>10</v>
          </cell>
          <cell r="B21"/>
          <cell r="C21"/>
          <cell r="D21"/>
          <cell r="E21"/>
          <cell r="F21">
            <v>10</v>
          </cell>
          <cell r="H21"/>
          <cell r="M21"/>
          <cell r="N21"/>
          <cell r="O21"/>
          <cell r="P21"/>
          <cell r="Q21">
            <v>0</v>
          </cell>
          <cell r="R21">
            <v>0</v>
          </cell>
        </row>
        <row r="22">
          <cell r="A22">
            <v>11</v>
          </cell>
          <cell r="B22" t="str">
            <v>FLA300</v>
          </cell>
          <cell r="C22">
            <v>15435</v>
          </cell>
          <cell r="D22">
            <v>4326</v>
          </cell>
          <cell r="E22">
            <v>15435</v>
          </cell>
          <cell r="F22">
            <v>11</v>
          </cell>
          <cell r="G22" t="str">
            <v>FLA3001-F46E</v>
          </cell>
          <cell r="H22" t="str">
            <v>14 146GB 10K FIBRE DRIVES</v>
          </cell>
          <cell r="I22">
            <v>1</v>
          </cell>
          <cell r="M22">
            <v>15435</v>
          </cell>
          <cell r="N22">
            <v>0</v>
          </cell>
          <cell r="O22">
            <v>15435</v>
          </cell>
          <cell r="P22">
            <v>4326</v>
          </cell>
          <cell r="Q22">
            <v>0.71972789115646263</v>
          </cell>
          <cell r="R22">
            <v>0.71972789115646263</v>
          </cell>
        </row>
        <row r="23">
          <cell r="A23">
            <v>11</v>
          </cell>
          <cell r="B23"/>
          <cell r="C23"/>
          <cell r="D23"/>
          <cell r="E23"/>
          <cell r="F23">
            <v>11</v>
          </cell>
          <cell r="H23"/>
          <cell r="M23"/>
          <cell r="N23"/>
          <cell r="O23"/>
          <cell r="P23"/>
          <cell r="Q23">
            <v>0</v>
          </cell>
          <cell r="R23">
            <v>0</v>
          </cell>
        </row>
        <row r="24">
          <cell r="A24">
            <v>11</v>
          </cell>
          <cell r="B24"/>
          <cell r="C24"/>
          <cell r="D24"/>
          <cell r="E24"/>
          <cell r="F24">
            <v>11</v>
          </cell>
          <cell r="H24"/>
          <cell r="M24"/>
          <cell r="N24"/>
          <cell r="O24"/>
          <cell r="P24"/>
          <cell r="Q24">
            <v>0</v>
          </cell>
          <cell r="R24">
            <v>0</v>
          </cell>
        </row>
        <row r="25">
          <cell r="A25">
            <v>12</v>
          </cell>
          <cell r="B25" t="str">
            <v>FLA200</v>
          </cell>
          <cell r="C25">
            <v>3772</v>
          </cell>
          <cell r="D25">
            <v>2473</v>
          </cell>
          <cell r="E25">
            <v>3772</v>
          </cell>
          <cell r="F25">
            <v>12</v>
          </cell>
          <cell r="G25" t="str">
            <v>D200014-0000</v>
          </cell>
          <cell r="H25" t="str">
            <v>14 SLOT 2GB DISK DRIVE MODULE</v>
          </cell>
          <cell r="I25">
            <v>1</v>
          </cell>
          <cell r="M25">
            <v>3772</v>
          </cell>
          <cell r="N25">
            <v>0</v>
          </cell>
          <cell r="O25">
            <v>3772</v>
          </cell>
          <cell r="P25">
            <v>2473</v>
          </cell>
          <cell r="Q25">
            <v>0.34437963944856842</v>
          </cell>
          <cell r="R25">
            <v>0.34437963944856842</v>
          </cell>
        </row>
        <row r="26">
          <cell r="A26">
            <v>13</v>
          </cell>
          <cell r="B26" t="str">
            <v>FLA200</v>
          </cell>
          <cell r="C26">
            <v>0</v>
          </cell>
          <cell r="D26">
            <v>0</v>
          </cell>
          <cell r="E26">
            <v>0</v>
          </cell>
          <cell r="F26">
            <v>13</v>
          </cell>
          <cell r="G26" t="str">
            <v>D200014-9901</v>
          </cell>
          <cell r="H26" t="str">
            <v>RACK MOUNTING</v>
          </cell>
          <cell r="I26">
            <v>1</v>
          </cell>
          <cell r="M26">
            <v>0</v>
          </cell>
          <cell r="N26"/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>
            <v>14</v>
          </cell>
          <cell r="B27" t="str">
            <v>FLA200</v>
          </cell>
          <cell r="C27">
            <v>0</v>
          </cell>
          <cell r="D27">
            <v>4</v>
          </cell>
          <cell r="E27">
            <v>0</v>
          </cell>
          <cell r="F27">
            <v>14</v>
          </cell>
          <cell r="G27" t="str">
            <v>D200014-ALRM</v>
          </cell>
          <cell r="H27" t="str">
            <v>AUDIBLE ALARM</v>
          </cell>
          <cell r="I27">
            <v>1</v>
          </cell>
          <cell r="M27">
            <v>0</v>
          </cell>
          <cell r="N27"/>
          <cell r="O27">
            <v>0</v>
          </cell>
          <cell r="P27">
            <v>4</v>
          </cell>
          <cell r="Q27">
            <v>0</v>
          </cell>
          <cell r="R27">
            <v>0</v>
          </cell>
        </row>
        <row r="28">
          <cell r="A28">
            <v>15</v>
          </cell>
          <cell r="B28" t="str">
            <v>FLA200</v>
          </cell>
          <cell r="C28">
            <v>117</v>
          </cell>
          <cell r="D28">
            <v>201</v>
          </cell>
          <cell r="E28">
            <v>117</v>
          </cell>
          <cell r="F28">
            <v>15</v>
          </cell>
          <cell r="G28" t="str">
            <v>D200014-AR01</v>
          </cell>
          <cell r="H28" t="str">
            <v>ADJUSTABLE RACK RAILS</v>
          </cell>
          <cell r="I28">
            <v>1</v>
          </cell>
          <cell r="M28">
            <v>117</v>
          </cell>
          <cell r="N28">
            <v>0</v>
          </cell>
          <cell r="O28">
            <v>117</v>
          </cell>
          <cell r="P28">
            <v>201</v>
          </cell>
          <cell r="Q28">
            <v>-0.71794871794871784</v>
          </cell>
          <cell r="R28">
            <v>-0.71794871794871784</v>
          </cell>
        </row>
        <row r="29">
          <cell r="A29">
            <v>16</v>
          </cell>
          <cell r="B29" t="str">
            <v>FLA200</v>
          </cell>
          <cell r="C29">
            <v>15435</v>
          </cell>
          <cell r="D29">
            <v>4326</v>
          </cell>
          <cell r="E29">
            <v>15435</v>
          </cell>
          <cell r="F29">
            <v>16</v>
          </cell>
          <cell r="G29" t="str">
            <v>D200014-F46E</v>
          </cell>
          <cell r="H29" t="str">
            <v>14 146GB 10K FIBRE DRIVES</v>
          </cell>
          <cell r="I29">
            <v>1</v>
          </cell>
          <cell r="M29">
            <v>15435</v>
          </cell>
          <cell r="N29">
            <v>0</v>
          </cell>
          <cell r="O29">
            <v>15435</v>
          </cell>
          <cell r="P29">
            <v>4326</v>
          </cell>
          <cell r="Q29">
            <v>0.71972789115646263</v>
          </cell>
          <cell r="R29">
            <v>0.71972789115646263</v>
          </cell>
        </row>
        <row r="30">
          <cell r="A30">
            <v>16</v>
          </cell>
          <cell r="B30"/>
          <cell r="C30"/>
          <cell r="D30"/>
          <cell r="E30"/>
          <cell r="F30">
            <v>16</v>
          </cell>
          <cell r="H30"/>
          <cell r="M30"/>
          <cell r="N30"/>
          <cell r="O30"/>
          <cell r="P30"/>
          <cell r="Q30">
            <v>0</v>
          </cell>
          <cell r="R30">
            <v>0</v>
          </cell>
        </row>
        <row r="31">
          <cell r="A31">
            <v>16</v>
          </cell>
          <cell r="B31"/>
          <cell r="C31"/>
          <cell r="D31"/>
          <cell r="E31"/>
          <cell r="F31">
            <v>16</v>
          </cell>
          <cell r="H31"/>
          <cell r="M31"/>
          <cell r="N31"/>
          <cell r="O31"/>
          <cell r="P31"/>
          <cell r="Q31">
            <v>0</v>
          </cell>
          <cell r="R31">
            <v>0</v>
          </cell>
        </row>
        <row r="32">
          <cell r="A32">
            <v>16</v>
          </cell>
          <cell r="B32"/>
          <cell r="C32"/>
          <cell r="D32"/>
          <cell r="E32"/>
          <cell r="F32">
            <v>16</v>
          </cell>
          <cell r="H32"/>
          <cell r="M32"/>
          <cell r="N32"/>
          <cell r="O32"/>
          <cell r="P32"/>
          <cell r="Q32">
            <v>0</v>
          </cell>
          <cell r="R32">
            <v>0</v>
          </cell>
        </row>
        <row r="33">
          <cell r="A33">
            <v>16</v>
          </cell>
          <cell r="B33"/>
          <cell r="C33"/>
          <cell r="D33"/>
          <cell r="E33"/>
          <cell r="F33">
            <v>16</v>
          </cell>
          <cell r="H33"/>
          <cell r="M33"/>
          <cell r="N33"/>
          <cell r="O33"/>
          <cell r="P33"/>
          <cell r="Q33">
            <v>0</v>
          </cell>
          <cell r="R33">
            <v>0</v>
          </cell>
        </row>
        <row r="34">
          <cell r="A34">
            <v>16</v>
          </cell>
          <cell r="B34"/>
          <cell r="C34"/>
          <cell r="D34"/>
          <cell r="E34"/>
          <cell r="F34">
            <v>16</v>
          </cell>
          <cell r="H34"/>
          <cell r="M34"/>
          <cell r="N34"/>
          <cell r="O34"/>
          <cell r="P34"/>
          <cell r="Q34">
            <v>0</v>
          </cell>
          <cell r="R34">
            <v>0</v>
          </cell>
        </row>
        <row r="35">
          <cell r="A35">
            <v>16</v>
          </cell>
          <cell r="B35"/>
          <cell r="C35"/>
          <cell r="D35"/>
          <cell r="E35"/>
          <cell r="F35">
            <v>16</v>
          </cell>
          <cell r="H35"/>
          <cell r="M35"/>
          <cell r="N35"/>
          <cell r="O35"/>
          <cell r="P35"/>
          <cell r="Q35">
            <v>0</v>
          </cell>
          <cell r="R35">
            <v>0</v>
          </cell>
        </row>
        <row r="36">
          <cell r="A36">
            <v>16</v>
          </cell>
          <cell r="B36"/>
          <cell r="C36"/>
          <cell r="D36"/>
          <cell r="E36"/>
          <cell r="F36">
            <v>16</v>
          </cell>
          <cell r="H36"/>
          <cell r="M36"/>
          <cell r="N36"/>
          <cell r="O36"/>
          <cell r="P36"/>
          <cell r="Q36">
            <v>0</v>
          </cell>
          <cell r="R36">
            <v>0</v>
          </cell>
        </row>
        <row r="37">
          <cell r="A37">
            <v>16</v>
          </cell>
          <cell r="B37"/>
          <cell r="C37"/>
          <cell r="D37"/>
          <cell r="E37"/>
          <cell r="F37">
            <v>16</v>
          </cell>
          <cell r="H37"/>
          <cell r="M37"/>
          <cell r="N37"/>
          <cell r="O37"/>
          <cell r="P37"/>
          <cell r="Q37">
            <v>0</v>
          </cell>
          <cell r="R37">
            <v>0</v>
          </cell>
        </row>
        <row r="38">
          <cell r="A38">
            <v>16</v>
          </cell>
          <cell r="B38"/>
          <cell r="C38"/>
          <cell r="D38"/>
          <cell r="E38"/>
          <cell r="F38">
            <v>16</v>
          </cell>
          <cell r="H38"/>
          <cell r="M38"/>
          <cell r="N38"/>
          <cell r="O38"/>
          <cell r="P38"/>
          <cell r="Q38">
            <v>0</v>
          </cell>
          <cell r="R38">
            <v>0</v>
          </cell>
        </row>
        <row r="39">
          <cell r="A39">
            <v>16</v>
          </cell>
          <cell r="B39"/>
          <cell r="C39"/>
          <cell r="D39"/>
          <cell r="E39"/>
          <cell r="F39">
            <v>16</v>
          </cell>
          <cell r="H39"/>
          <cell r="M39"/>
          <cell r="N39"/>
          <cell r="O39"/>
          <cell r="P39"/>
          <cell r="Q39">
            <v>0</v>
          </cell>
          <cell r="R39">
            <v>0</v>
          </cell>
        </row>
        <row r="40">
          <cell r="A40">
            <v>16</v>
          </cell>
          <cell r="B40"/>
          <cell r="C40"/>
          <cell r="D40"/>
          <cell r="E40"/>
          <cell r="F40">
            <v>16</v>
          </cell>
          <cell r="H40"/>
          <cell r="M40"/>
          <cell r="N40"/>
          <cell r="O40"/>
          <cell r="P40"/>
          <cell r="Q40">
            <v>0</v>
          </cell>
          <cell r="R40">
            <v>0</v>
          </cell>
        </row>
        <row r="41">
          <cell r="A41">
            <v>16</v>
          </cell>
          <cell r="B41"/>
          <cell r="C41"/>
          <cell r="D41"/>
          <cell r="E41"/>
          <cell r="F41">
            <v>16</v>
          </cell>
          <cell r="H41"/>
          <cell r="M41"/>
          <cell r="N41"/>
          <cell r="O41"/>
          <cell r="P41"/>
          <cell r="Q41">
            <v>0</v>
          </cell>
          <cell r="R41">
            <v>0</v>
          </cell>
        </row>
        <row r="42">
          <cell r="A42">
            <v>16</v>
          </cell>
          <cell r="B42"/>
          <cell r="C42"/>
          <cell r="D42"/>
          <cell r="E42"/>
          <cell r="F42">
            <v>16</v>
          </cell>
          <cell r="H42"/>
          <cell r="M42"/>
          <cell r="N42"/>
          <cell r="O42"/>
          <cell r="P42"/>
          <cell r="Q42">
            <v>0</v>
          </cell>
          <cell r="R42">
            <v>0</v>
          </cell>
        </row>
        <row r="43">
          <cell r="A43">
            <v>16</v>
          </cell>
          <cell r="B43"/>
          <cell r="C43"/>
          <cell r="D43"/>
          <cell r="E43"/>
          <cell r="F43">
            <v>16</v>
          </cell>
          <cell r="H43"/>
          <cell r="M43"/>
          <cell r="N43"/>
          <cell r="O43"/>
          <cell r="P43"/>
          <cell r="Q43">
            <v>0</v>
          </cell>
          <cell r="R43">
            <v>0</v>
          </cell>
        </row>
        <row r="44">
          <cell r="A44">
            <v>16</v>
          </cell>
          <cell r="B44"/>
          <cell r="C44"/>
          <cell r="D44"/>
          <cell r="E44"/>
          <cell r="F44">
            <v>16</v>
          </cell>
          <cell r="H44"/>
          <cell r="M44"/>
          <cell r="N44"/>
          <cell r="O44"/>
          <cell r="P44"/>
          <cell r="Q44">
            <v>0</v>
          </cell>
          <cell r="R44">
            <v>0</v>
          </cell>
        </row>
        <row r="45">
          <cell r="A45">
            <v>16</v>
          </cell>
          <cell r="B45"/>
          <cell r="C45"/>
          <cell r="D45"/>
          <cell r="E45"/>
          <cell r="F45">
            <v>16</v>
          </cell>
          <cell r="H45"/>
          <cell r="M45"/>
          <cell r="N45"/>
          <cell r="O45"/>
          <cell r="P45"/>
          <cell r="Q45">
            <v>0</v>
          </cell>
          <cell r="R45">
            <v>0</v>
          </cell>
        </row>
        <row r="46">
          <cell r="A46">
            <v>16</v>
          </cell>
          <cell r="B46"/>
          <cell r="C46"/>
          <cell r="D46"/>
          <cell r="E46"/>
          <cell r="F46">
            <v>16</v>
          </cell>
          <cell r="H46"/>
          <cell r="M46"/>
          <cell r="N46"/>
          <cell r="O46"/>
          <cell r="P46"/>
          <cell r="Q46">
            <v>0</v>
          </cell>
          <cell r="R46">
            <v>0</v>
          </cell>
        </row>
        <row r="47">
          <cell r="A47">
            <v>16</v>
          </cell>
          <cell r="B47"/>
          <cell r="C47"/>
          <cell r="D47"/>
          <cell r="E47"/>
          <cell r="F47">
            <v>16</v>
          </cell>
          <cell r="H47"/>
          <cell r="M47"/>
          <cell r="N47"/>
          <cell r="O47"/>
          <cell r="P47"/>
          <cell r="Q47">
            <v>0</v>
          </cell>
          <cell r="R47">
            <v>0</v>
          </cell>
        </row>
        <row r="48">
          <cell r="A48">
            <v>16</v>
          </cell>
          <cell r="B48"/>
          <cell r="C48"/>
          <cell r="D48"/>
          <cell r="E48"/>
          <cell r="F48">
            <v>16</v>
          </cell>
          <cell r="H48"/>
          <cell r="M48"/>
          <cell r="N48"/>
          <cell r="O48"/>
          <cell r="P48"/>
          <cell r="Q48">
            <v>0</v>
          </cell>
          <cell r="R48">
            <v>0</v>
          </cell>
        </row>
        <row r="49">
          <cell r="A49">
            <v>16</v>
          </cell>
          <cell r="B49"/>
          <cell r="C49"/>
          <cell r="D49"/>
          <cell r="E49"/>
          <cell r="F49">
            <v>16</v>
          </cell>
          <cell r="H49"/>
          <cell r="M49"/>
          <cell r="N49"/>
          <cell r="O49"/>
          <cell r="P49"/>
          <cell r="Q49">
            <v>0</v>
          </cell>
          <cell r="R49">
            <v>0</v>
          </cell>
        </row>
        <row r="50">
          <cell r="A50">
            <v>16</v>
          </cell>
          <cell r="B50"/>
          <cell r="C50"/>
          <cell r="D50"/>
          <cell r="E50"/>
          <cell r="F50">
            <v>16</v>
          </cell>
          <cell r="H50"/>
          <cell r="M50"/>
          <cell r="N50"/>
          <cell r="O50"/>
          <cell r="P50"/>
          <cell r="Q50">
            <v>0</v>
          </cell>
          <cell r="R50">
            <v>0</v>
          </cell>
        </row>
        <row r="51">
          <cell r="A51">
            <v>16</v>
          </cell>
          <cell r="B51"/>
          <cell r="C51"/>
          <cell r="D51"/>
          <cell r="E51"/>
          <cell r="F51">
            <v>16</v>
          </cell>
          <cell r="H51"/>
          <cell r="M51"/>
          <cell r="N51"/>
          <cell r="O51"/>
          <cell r="P51"/>
          <cell r="Q51">
            <v>0</v>
          </cell>
          <cell r="R51">
            <v>0</v>
          </cell>
        </row>
        <row r="52">
          <cell r="A52">
            <v>16</v>
          </cell>
          <cell r="B52"/>
          <cell r="C52"/>
          <cell r="D52"/>
          <cell r="E52"/>
          <cell r="F52">
            <v>16</v>
          </cell>
          <cell r="H52"/>
          <cell r="M52"/>
          <cell r="N52"/>
          <cell r="O52"/>
          <cell r="P52"/>
          <cell r="Q52">
            <v>0</v>
          </cell>
          <cell r="R52">
            <v>0</v>
          </cell>
        </row>
        <row r="53">
          <cell r="A53">
            <v>16</v>
          </cell>
          <cell r="B53"/>
          <cell r="C53"/>
          <cell r="D53"/>
          <cell r="E53"/>
          <cell r="F53">
            <v>16</v>
          </cell>
          <cell r="H53"/>
          <cell r="M53"/>
          <cell r="N53"/>
          <cell r="O53"/>
          <cell r="P53"/>
          <cell r="Q53">
            <v>0</v>
          </cell>
          <cell r="R53">
            <v>0</v>
          </cell>
        </row>
        <row r="54">
          <cell r="A54">
            <v>16</v>
          </cell>
          <cell r="B54"/>
          <cell r="C54"/>
          <cell r="D54"/>
          <cell r="E54"/>
          <cell r="F54">
            <v>16</v>
          </cell>
          <cell r="H54"/>
          <cell r="M54"/>
          <cell r="N54"/>
          <cell r="O54"/>
          <cell r="P54"/>
          <cell r="Q54">
            <v>0</v>
          </cell>
          <cell r="R54">
            <v>0</v>
          </cell>
        </row>
        <row r="55">
          <cell r="A55">
            <v>16</v>
          </cell>
          <cell r="B55"/>
          <cell r="C55"/>
          <cell r="D55"/>
          <cell r="E55"/>
          <cell r="F55">
            <v>16</v>
          </cell>
          <cell r="H55"/>
          <cell r="M55"/>
          <cell r="N55"/>
          <cell r="O55"/>
          <cell r="P55"/>
          <cell r="Q55">
            <v>0</v>
          </cell>
          <cell r="R55">
            <v>0</v>
          </cell>
        </row>
        <row r="56">
          <cell r="A56">
            <v>16</v>
          </cell>
          <cell r="B56"/>
          <cell r="C56"/>
          <cell r="D56"/>
          <cell r="E56"/>
          <cell r="F56">
            <v>16</v>
          </cell>
          <cell r="H56"/>
          <cell r="M56"/>
          <cell r="N56"/>
          <cell r="O56"/>
          <cell r="P56"/>
          <cell r="Q56">
            <v>0</v>
          </cell>
          <cell r="R56">
            <v>0</v>
          </cell>
        </row>
        <row r="57">
          <cell r="A57">
            <v>16</v>
          </cell>
          <cell r="B57"/>
          <cell r="C57"/>
          <cell r="D57"/>
          <cell r="E57"/>
          <cell r="F57">
            <v>16</v>
          </cell>
          <cell r="H57"/>
          <cell r="M57"/>
          <cell r="N57"/>
          <cell r="O57"/>
          <cell r="P57"/>
          <cell r="Q57">
            <v>0</v>
          </cell>
          <cell r="R57">
            <v>0</v>
          </cell>
        </row>
        <row r="58">
          <cell r="A58">
            <v>16</v>
          </cell>
          <cell r="B58"/>
          <cell r="C58"/>
          <cell r="D58"/>
          <cell r="E58"/>
          <cell r="F58">
            <v>16</v>
          </cell>
          <cell r="H58"/>
          <cell r="M58"/>
          <cell r="N58"/>
          <cell r="O58"/>
          <cell r="P58"/>
          <cell r="Q58">
            <v>0</v>
          </cell>
          <cell r="R58">
            <v>0</v>
          </cell>
        </row>
        <row r="59">
          <cell r="A59">
            <v>16</v>
          </cell>
          <cell r="B59"/>
          <cell r="C59"/>
          <cell r="D59"/>
          <cell r="E59"/>
          <cell r="F59">
            <v>16</v>
          </cell>
          <cell r="H59"/>
          <cell r="M59"/>
          <cell r="N59"/>
          <cell r="O59"/>
          <cell r="P59"/>
          <cell r="Q59">
            <v>0</v>
          </cell>
          <cell r="R59">
            <v>0</v>
          </cell>
        </row>
        <row r="60">
          <cell r="A60">
            <v>16</v>
          </cell>
          <cell r="B60"/>
          <cell r="C60"/>
          <cell r="D60"/>
          <cell r="E60"/>
          <cell r="F60">
            <v>16</v>
          </cell>
          <cell r="H60"/>
          <cell r="M60"/>
          <cell r="N60"/>
          <cell r="O60"/>
          <cell r="P60"/>
          <cell r="Q60">
            <v>0</v>
          </cell>
          <cell r="R60">
            <v>0</v>
          </cell>
        </row>
        <row r="61">
          <cell r="A61">
            <v>16</v>
          </cell>
          <cell r="B61"/>
          <cell r="C61"/>
          <cell r="D61"/>
          <cell r="E61"/>
          <cell r="F61">
            <v>16</v>
          </cell>
          <cell r="H61"/>
          <cell r="M61"/>
          <cell r="N61"/>
          <cell r="O61"/>
          <cell r="P61"/>
          <cell r="Q61">
            <v>0</v>
          </cell>
          <cell r="R61">
            <v>0</v>
          </cell>
        </row>
        <row r="62">
          <cell r="A62">
            <v>16</v>
          </cell>
          <cell r="B62"/>
          <cell r="C62"/>
          <cell r="D62"/>
          <cell r="E62"/>
          <cell r="F62">
            <v>16</v>
          </cell>
          <cell r="H62"/>
          <cell r="M62"/>
          <cell r="N62"/>
          <cell r="O62"/>
          <cell r="P62"/>
          <cell r="Q62">
            <v>0</v>
          </cell>
          <cell r="R62">
            <v>0</v>
          </cell>
        </row>
        <row r="63">
          <cell r="A63">
            <v>16</v>
          </cell>
          <cell r="B63"/>
          <cell r="C63"/>
          <cell r="D63"/>
          <cell r="E63"/>
          <cell r="F63">
            <v>16</v>
          </cell>
          <cell r="H63"/>
          <cell r="M63"/>
          <cell r="N63"/>
          <cell r="O63"/>
          <cell r="P63"/>
          <cell r="Q63">
            <v>0</v>
          </cell>
          <cell r="R63">
            <v>0</v>
          </cell>
        </row>
        <row r="64">
          <cell r="A64">
            <v>16</v>
          </cell>
          <cell r="B64"/>
          <cell r="C64"/>
          <cell r="D64"/>
          <cell r="E64"/>
          <cell r="F64">
            <v>16</v>
          </cell>
          <cell r="H64"/>
          <cell r="M64"/>
          <cell r="N64"/>
          <cell r="O64"/>
          <cell r="P64"/>
          <cell r="Q64">
            <v>0</v>
          </cell>
          <cell r="R64">
            <v>0</v>
          </cell>
        </row>
        <row r="65">
          <cell r="A65">
            <v>16</v>
          </cell>
          <cell r="B65"/>
          <cell r="C65"/>
          <cell r="D65"/>
          <cell r="E65"/>
          <cell r="F65">
            <v>16</v>
          </cell>
          <cell r="H65"/>
          <cell r="M65"/>
          <cell r="N65"/>
          <cell r="O65"/>
          <cell r="P65"/>
          <cell r="Q65">
            <v>0</v>
          </cell>
          <cell r="R65">
            <v>0</v>
          </cell>
        </row>
        <row r="66">
          <cell r="A66">
            <v>16</v>
          </cell>
          <cell r="B66"/>
          <cell r="C66"/>
          <cell r="D66"/>
          <cell r="E66"/>
          <cell r="F66">
            <v>16</v>
          </cell>
          <cell r="H66"/>
          <cell r="M66"/>
          <cell r="N66"/>
          <cell r="O66"/>
          <cell r="P66"/>
          <cell r="Q66">
            <v>0</v>
          </cell>
          <cell r="R66">
            <v>0</v>
          </cell>
        </row>
        <row r="67">
          <cell r="A67">
            <v>16</v>
          </cell>
          <cell r="B67"/>
          <cell r="C67"/>
          <cell r="D67"/>
          <cell r="E67"/>
          <cell r="F67">
            <v>16</v>
          </cell>
          <cell r="H67"/>
          <cell r="M67"/>
          <cell r="N67"/>
          <cell r="O67"/>
          <cell r="P67"/>
          <cell r="Q67">
            <v>0</v>
          </cell>
          <cell r="R67">
            <v>0</v>
          </cell>
        </row>
        <row r="68">
          <cell r="A68">
            <v>16</v>
          </cell>
          <cell r="B68"/>
          <cell r="C68"/>
          <cell r="D68"/>
          <cell r="E68"/>
          <cell r="F68">
            <v>16</v>
          </cell>
          <cell r="H68"/>
          <cell r="M68"/>
          <cell r="N68"/>
          <cell r="O68"/>
          <cell r="P68"/>
          <cell r="Q68">
            <v>0</v>
          </cell>
          <cell r="R68">
            <v>0</v>
          </cell>
        </row>
        <row r="69">
          <cell r="A69">
            <v>16</v>
          </cell>
          <cell r="B69"/>
          <cell r="C69"/>
          <cell r="D69"/>
          <cell r="E69"/>
          <cell r="F69">
            <v>16</v>
          </cell>
          <cell r="H69"/>
          <cell r="M69"/>
          <cell r="N69"/>
          <cell r="O69"/>
          <cell r="P69"/>
          <cell r="Q69">
            <v>0</v>
          </cell>
          <cell r="R69">
            <v>0</v>
          </cell>
        </row>
        <row r="70">
          <cell r="A70">
            <v>16</v>
          </cell>
          <cell r="B70"/>
          <cell r="C70"/>
          <cell r="D70"/>
          <cell r="E70"/>
          <cell r="F70">
            <v>16</v>
          </cell>
          <cell r="H70"/>
          <cell r="M70"/>
          <cell r="N70"/>
          <cell r="O70"/>
          <cell r="P70"/>
          <cell r="Q70">
            <v>0</v>
          </cell>
          <cell r="R70">
            <v>0</v>
          </cell>
        </row>
        <row r="71">
          <cell r="A71">
            <v>16</v>
          </cell>
          <cell r="B71"/>
          <cell r="C71"/>
          <cell r="D71"/>
          <cell r="E71"/>
          <cell r="F71">
            <v>16</v>
          </cell>
          <cell r="H71"/>
          <cell r="M71"/>
          <cell r="N71"/>
          <cell r="O71"/>
          <cell r="P71"/>
          <cell r="Q71">
            <v>0</v>
          </cell>
          <cell r="R71">
            <v>0</v>
          </cell>
        </row>
        <row r="72">
          <cell r="A72">
            <v>16</v>
          </cell>
          <cell r="B72"/>
          <cell r="C72"/>
          <cell r="D72"/>
          <cell r="E72"/>
          <cell r="F72">
            <v>16</v>
          </cell>
          <cell r="H72"/>
          <cell r="M72"/>
          <cell r="N72"/>
          <cell r="O72"/>
          <cell r="P72"/>
          <cell r="Q72">
            <v>0</v>
          </cell>
          <cell r="R72">
            <v>0</v>
          </cell>
        </row>
        <row r="73">
          <cell r="A73">
            <v>16</v>
          </cell>
          <cell r="B73"/>
          <cell r="C73"/>
          <cell r="D73"/>
          <cell r="E73"/>
          <cell r="F73">
            <v>16</v>
          </cell>
          <cell r="H73"/>
          <cell r="M73"/>
          <cell r="N73"/>
          <cell r="O73"/>
          <cell r="P73"/>
          <cell r="Q73">
            <v>0</v>
          </cell>
          <cell r="R73">
            <v>0</v>
          </cell>
        </row>
        <row r="74">
          <cell r="A74">
            <v>16</v>
          </cell>
          <cell r="B74"/>
          <cell r="C74"/>
          <cell r="D74"/>
          <cell r="E74"/>
          <cell r="F74">
            <v>16</v>
          </cell>
          <cell r="H74"/>
          <cell r="M74"/>
          <cell r="N74"/>
          <cell r="O74"/>
          <cell r="P74"/>
          <cell r="Q74">
            <v>0</v>
          </cell>
          <cell r="R74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allah A.Jaber" refreshedDate="45693.624247916669" backgroundQuery="1" createdVersion="8" refreshedVersion="8" minRefreshableVersion="3" recordCount="0" supportSubquery="1" supportAdvancedDrill="1" xr:uid="{24CD0171-7555-4DA6-8DFF-8E9589542541}">
  <cacheSource type="external" connectionId="1"/>
  <cacheFields count="3">
    <cacheField name="[Measures].[Sum of QTY]" caption="Sum of QTY" numFmtId="0" hierarchy="5" level="32767"/>
    <cacheField name="[Range].[PART NUMBER].[PART NUMBER]" caption="PART NUMBER" numFmtId="0" level="1">
      <sharedItems count="16">
        <s v="ANMAT - PS"/>
        <s v="Jabra_x000a_7510-109"/>
        <s v="Jabra_x000a_7810-209"/>
        <s v="Logitech 952-000091"/>
        <s v="Logitech 960-001681"/>
        <s v="Logitech_x000a_939-001647"/>
        <s v="Logitech_x000a_939-001950"/>
        <s v="Logitech_x000a_952-000041"/>
        <s v="Logitech_x000a_952-000047"/>
        <s v="Logitech_x000a_960-001312"/>
        <s v="Logitech_x000a_960-001340"/>
        <s v="Logitech_x000a_960-001510"/>
        <s v="Logitech_x000a_989-000430"/>
        <s v="Samsung QM75C"/>
        <s v="SAMSUNG QM98T"/>
        <s v="Vogel's PFW 6852"/>
      </sharedItems>
    </cacheField>
    <cacheField name="[Range].[DESCRIPTION].[DESCRIPTION]" caption="DESCRIPTION" numFmtId="0" hierarchy="1" level="1">
      <sharedItems count="16" longText="1">
        <s v="System installation, configuration &amp; commissioning without civil works"/>
        <s v="Jabra SPEAK™ 510 MS Speakerphone for UC &amp; BT, USB Conference solution, 360-degree-microphone, Plug&amp;Play, mute and volume button, Wideband, Bluetooth (up to 100 meters), Microsoft optimized Version B: incl. Smart Button activated via Jabra"/>
        <s v="Jabra SPEAK™ 810 Speakerphone, best in Class Audio Conference Solution for medium sized meeting rooms up to 15 people, USB-BT-3.5mm AUX connections, powerful loudspeaker, ZoomTalk microphones (6), Plug&amp;Play, mute and volume button, USB cha"/>
        <s v="Logitech Tap Scheduler - GRAPHITE - USB - N/A - WW-9004 - TOUCH SCREEN"/>
        <s v="WEBCAM - MeetUp 2 - GRAPHITE - USB _x000a_- PLUGCG - (Do Not Use) WW-9006 - UK/EU"/>
        <s v="Logitech Rally Mic Pod Hub for the Logitech Rally Ultra-HD ConferenceCam - GRAPHITE - USB - N/A - WW-9004 - MIC SPLITTER"/>
        <s v="Logitech Tap with Cat5e Kit - NA - USB - N/A - WW-9004 - WITH RAICHU"/>
        <s v="TV Mount for Video Bars - N/A - N/A - N/A - WW-9004 - TV MOUNT"/>
        <s v="Rally Mic Pod Extension Cable - OFF-WHITE - USB - N/A - WW-9004 - 10M EXTENSION CABLE"/>
        <s v="WEBCAM - Logitech Rally Bar - GRAPHITE - USB - PLUGG - EMEA-914 - UK/HK"/>
        <s v="WEBCAM - Logitech Rally Bar Mini - GRAPHITE - USB - PLUGG - EMEA-914 - UK/HK"/>
        <s v="WEBCAM - Logitech Sight - GRAPHITE - USB - N/A - WW-9004 - WEBCAM"/>
        <s v="Rally Mic Pod accessory for the Logitech Rally Ultra-HD ConferenceCam - GRAPHITE - USB - N/A - WW-9004"/>
        <s v="UHD Signage Display, Slim &amp; Light Signage with Built-in MagicInfo S6, SSSP 6.0_x000a_Temperature Sensor,Pivot Display,_x000a_Clock Battery(168hrs Clock Keeping),_x000a_Built in Speaker(10W 2ch), Video_x000a_Wall Daisy Chain(HDCP2.2:4EA,HDCP1.4:_x000a_7EA), IP5x Rating, Wi-Fi/BT"/>
        <s v="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"/>
        <s v="Supports displays up to 136 kg (300 lbs). Typically fits displays larger than 40 inches. Extends up to 66 cm from the wall. Allows up to 90° of swivel to both sides. Provides a tilt range of -10° to +10°. Supports landscape orientation. TÜV certified for quality and safety"/>
      </sharedItems>
    </cacheField>
  </cacheFields>
  <cacheHierarchies count="6">
    <cacheHierarchy uniqueName="[Range].[PART NUMBER]" caption="PART NUMBER" attribute="1" defaultMemberUniqueName="[Range].[PART NUMBER].[All]" allUniqueName="[Range].[PART NUMB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SCRIPTION]" caption="DESCRIPTION" attribute="1" defaultMemberUniqueName="[Range].[DESCRIPTION].[All]" allUniqueName="[Range].[DESCRIP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1C36A-3C48-4C32-B7D9-8ACD9151E9B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2"/>
  <pivotFields count="3">
    <pivotField dataField="1" compact="0" outline="0" subtotalTop="0" showAll="0" defaultSubtotal="0"/>
    <pivotField axis="axisRow" compact="0" allDrilled="1" outline="0" showAll="0" sortType="ascending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1"/>
    <field x="2"/>
  </rowFields>
  <rowItems count="1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 t="grand">
      <x/>
    </i>
  </rowItems>
  <colItems count="1">
    <i/>
  </colItems>
  <dataFields count="1">
    <dataField name="Sum of QTY" fld="0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Q (V2)!$B$10:$D$7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63BF-941B-3545-B29E-BE1764E21358}">
  <sheetPr filterMode="1"/>
  <dimension ref="A1:I75"/>
  <sheetViews>
    <sheetView zoomScale="130" zoomScaleNormal="130" zoomScaleSheetLayoutView="70" zoomScalePageLayoutView="50" workbookViewId="0">
      <pane ySplit="9" topLeftCell="A29" activePane="bottomLeft" state="frozen"/>
      <selection pane="bottomLeft" activeCell="A10" sqref="A10:F75"/>
    </sheetView>
  </sheetViews>
  <sheetFormatPr defaultRowHeight="13.2" outlineLevelRow="1" x14ac:dyDescent="0.3"/>
  <cols>
    <col min="1" max="1" width="5" style="1" bestFit="1" customWidth="1"/>
    <col min="2" max="2" width="16.88671875" style="7" bestFit="1" customWidth="1"/>
    <col min="3" max="3" width="36.6640625" style="7" customWidth="1"/>
    <col min="4" max="4" width="5.6640625" style="28" bestFit="1" customWidth="1"/>
    <col min="5" max="5" width="16" style="3" bestFit="1" customWidth="1"/>
    <col min="6" max="6" width="16.5546875" style="3" bestFit="1" customWidth="1"/>
    <col min="7" max="7" width="6.5546875" style="7" customWidth="1"/>
    <col min="8" max="8" width="8.6640625" style="7"/>
    <col min="9" max="9" width="12" style="7" bestFit="1" customWidth="1"/>
    <col min="10" max="203" width="8.6640625" style="7"/>
    <col min="204" max="204" width="4.44140625" style="7" customWidth="1"/>
    <col min="205" max="205" width="13.6640625" style="7" customWidth="1"/>
    <col min="206" max="206" width="42.5546875" style="7" customWidth="1"/>
    <col min="207" max="207" width="5.88671875" style="7" bestFit="1" customWidth="1"/>
    <col min="208" max="208" width="16" style="7" bestFit="1" customWidth="1"/>
    <col min="209" max="209" width="17.109375" style="7" bestFit="1" customWidth="1"/>
    <col min="210" max="210" width="2.6640625" style="7" customWidth="1"/>
    <col min="211" max="211" width="3.109375" style="7" customWidth="1"/>
    <col min="212" max="212" width="9.6640625" style="7" customWidth="1"/>
    <col min="213" max="213" width="16.33203125" style="7" bestFit="1" customWidth="1"/>
    <col min="214" max="214" width="14.109375" style="7" customWidth="1"/>
    <col min="215" max="215" width="15.33203125" style="7" bestFit="1" customWidth="1"/>
    <col min="216" max="216" width="10.44140625" style="7" bestFit="1" customWidth="1"/>
    <col min="217" max="217" width="58" style="7" customWidth="1"/>
    <col min="218" max="459" width="8.6640625" style="7"/>
    <col min="460" max="460" width="4.44140625" style="7" customWidth="1"/>
    <col min="461" max="461" width="13.6640625" style="7" customWidth="1"/>
    <col min="462" max="462" width="42.5546875" style="7" customWidth="1"/>
    <col min="463" max="463" width="5.88671875" style="7" bestFit="1" customWidth="1"/>
    <col min="464" max="464" width="16" style="7" bestFit="1" customWidth="1"/>
    <col min="465" max="465" width="17.109375" style="7" bestFit="1" customWidth="1"/>
    <col min="466" max="466" width="2.6640625" style="7" customWidth="1"/>
    <col min="467" max="467" width="3.109375" style="7" customWidth="1"/>
    <col min="468" max="468" width="9.6640625" style="7" customWidth="1"/>
    <col min="469" max="469" width="16.33203125" style="7" bestFit="1" customWidth="1"/>
    <col min="470" max="470" width="14.109375" style="7" customWidth="1"/>
    <col min="471" max="471" width="15.33203125" style="7" bestFit="1" customWidth="1"/>
    <col min="472" max="472" width="10.44140625" style="7" bestFit="1" customWidth="1"/>
    <col min="473" max="473" width="58" style="7" customWidth="1"/>
    <col min="474" max="715" width="8.6640625" style="7"/>
    <col min="716" max="716" width="4.44140625" style="7" customWidth="1"/>
    <col min="717" max="717" width="13.6640625" style="7" customWidth="1"/>
    <col min="718" max="718" width="42.5546875" style="7" customWidth="1"/>
    <col min="719" max="719" width="5.88671875" style="7" bestFit="1" customWidth="1"/>
    <col min="720" max="720" width="16" style="7" bestFit="1" customWidth="1"/>
    <col min="721" max="721" width="17.109375" style="7" bestFit="1" customWidth="1"/>
    <col min="722" max="722" width="2.6640625" style="7" customWidth="1"/>
    <col min="723" max="723" width="3.109375" style="7" customWidth="1"/>
    <col min="724" max="724" width="9.6640625" style="7" customWidth="1"/>
    <col min="725" max="725" width="16.33203125" style="7" bestFit="1" customWidth="1"/>
    <col min="726" max="726" width="14.109375" style="7" customWidth="1"/>
    <col min="727" max="727" width="15.33203125" style="7" bestFit="1" customWidth="1"/>
    <col min="728" max="728" width="10.44140625" style="7" bestFit="1" customWidth="1"/>
    <col min="729" max="729" width="58" style="7" customWidth="1"/>
    <col min="730" max="971" width="8.6640625" style="7"/>
    <col min="972" max="972" width="4.44140625" style="7" customWidth="1"/>
    <col min="973" max="973" width="13.6640625" style="7" customWidth="1"/>
    <col min="974" max="974" width="42.5546875" style="7" customWidth="1"/>
    <col min="975" max="975" width="5.88671875" style="7" bestFit="1" customWidth="1"/>
    <col min="976" max="976" width="16" style="7" bestFit="1" customWidth="1"/>
    <col min="977" max="977" width="17.109375" style="7" bestFit="1" customWidth="1"/>
    <col min="978" max="978" width="2.6640625" style="7" customWidth="1"/>
    <col min="979" max="979" width="3.109375" style="7" customWidth="1"/>
    <col min="980" max="980" width="9.6640625" style="7" customWidth="1"/>
    <col min="981" max="981" width="16.33203125" style="7" bestFit="1" customWidth="1"/>
    <col min="982" max="982" width="14.109375" style="7" customWidth="1"/>
    <col min="983" max="983" width="15.33203125" style="7" bestFit="1" customWidth="1"/>
    <col min="984" max="984" width="10.44140625" style="7" bestFit="1" customWidth="1"/>
    <col min="985" max="985" width="58" style="7" customWidth="1"/>
    <col min="986" max="1227" width="8.6640625" style="7"/>
    <col min="1228" max="1228" width="4.44140625" style="7" customWidth="1"/>
    <col min="1229" max="1229" width="13.6640625" style="7" customWidth="1"/>
    <col min="1230" max="1230" width="42.5546875" style="7" customWidth="1"/>
    <col min="1231" max="1231" width="5.88671875" style="7" bestFit="1" customWidth="1"/>
    <col min="1232" max="1232" width="16" style="7" bestFit="1" customWidth="1"/>
    <col min="1233" max="1233" width="17.109375" style="7" bestFit="1" customWidth="1"/>
    <col min="1234" max="1234" width="2.6640625" style="7" customWidth="1"/>
    <col min="1235" max="1235" width="3.109375" style="7" customWidth="1"/>
    <col min="1236" max="1236" width="9.6640625" style="7" customWidth="1"/>
    <col min="1237" max="1237" width="16.33203125" style="7" bestFit="1" customWidth="1"/>
    <col min="1238" max="1238" width="14.109375" style="7" customWidth="1"/>
    <col min="1239" max="1239" width="15.33203125" style="7" bestFit="1" customWidth="1"/>
    <col min="1240" max="1240" width="10.44140625" style="7" bestFit="1" customWidth="1"/>
    <col min="1241" max="1241" width="58" style="7" customWidth="1"/>
    <col min="1242" max="1483" width="8.6640625" style="7"/>
    <col min="1484" max="1484" width="4.44140625" style="7" customWidth="1"/>
    <col min="1485" max="1485" width="13.6640625" style="7" customWidth="1"/>
    <col min="1486" max="1486" width="42.5546875" style="7" customWidth="1"/>
    <col min="1487" max="1487" width="5.88671875" style="7" bestFit="1" customWidth="1"/>
    <col min="1488" max="1488" width="16" style="7" bestFit="1" customWidth="1"/>
    <col min="1489" max="1489" width="17.109375" style="7" bestFit="1" customWidth="1"/>
    <col min="1490" max="1490" width="2.6640625" style="7" customWidth="1"/>
    <col min="1491" max="1491" width="3.109375" style="7" customWidth="1"/>
    <col min="1492" max="1492" width="9.6640625" style="7" customWidth="1"/>
    <col min="1493" max="1493" width="16.33203125" style="7" bestFit="1" customWidth="1"/>
    <col min="1494" max="1494" width="14.109375" style="7" customWidth="1"/>
    <col min="1495" max="1495" width="15.33203125" style="7" bestFit="1" customWidth="1"/>
    <col min="1496" max="1496" width="10.44140625" style="7" bestFit="1" customWidth="1"/>
    <col min="1497" max="1497" width="58" style="7" customWidth="1"/>
    <col min="1498" max="1739" width="8.6640625" style="7"/>
    <col min="1740" max="1740" width="4.44140625" style="7" customWidth="1"/>
    <col min="1741" max="1741" width="13.6640625" style="7" customWidth="1"/>
    <col min="1742" max="1742" width="42.5546875" style="7" customWidth="1"/>
    <col min="1743" max="1743" width="5.88671875" style="7" bestFit="1" customWidth="1"/>
    <col min="1744" max="1744" width="16" style="7" bestFit="1" customWidth="1"/>
    <col min="1745" max="1745" width="17.109375" style="7" bestFit="1" customWidth="1"/>
    <col min="1746" max="1746" width="2.6640625" style="7" customWidth="1"/>
    <col min="1747" max="1747" width="3.109375" style="7" customWidth="1"/>
    <col min="1748" max="1748" width="9.6640625" style="7" customWidth="1"/>
    <col min="1749" max="1749" width="16.33203125" style="7" bestFit="1" customWidth="1"/>
    <col min="1750" max="1750" width="14.109375" style="7" customWidth="1"/>
    <col min="1751" max="1751" width="15.33203125" style="7" bestFit="1" customWidth="1"/>
    <col min="1752" max="1752" width="10.44140625" style="7" bestFit="1" customWidth="1"/>
    <col min="1753" max="1753" width="58" style="7" customWidth="1"/>
    <col min="1754" max="1995" width="8.6640625" style="7"/>
    <col min="1996" max="1996" width="4.44140625" style="7" customWidth="1"/>
    <col min="1997" max="1997" width="13.6640625" style="7" customWidth="1"/>
    <col min="1998" max="1998" width="42.5546875" style="7" customWidth="1"/>
    <col min="1999" max="1999" width="5.88671875" style="7" bestFit="1" customWidth="1"/>
    <col min="2000" max="2000" width="16" style="7" bestFit="1" customWidth="1"/>
    <col min="2001" max="2001" width="17.109375" style="7" bestFit="1" customWidth="1"/>
    <col min="2002" max="2002" width="2.6640625" style="7" customWidth="1"/>
    <col min="2003" max="2003" width="3.109375" style="7" customWidth="1"/>
    <col min="2004" max="2004" width="9.6640625" style="7" customWidth="1"/>
    <col min="2005" max="2005" width="16.33203125" style="7" bestFit="1" customWidth="1"/>
    <col min="2006" max="2006" width="14.109375" style="7" customWidth="1"/>
    <col min="2007" max="2007" width="15.33203125" style="7" bestFit="1" customWidth="1"/>
    <col min="2008" max="2008" width="10.44140625" style="7" bestFit="1" customWidth="1"/>
    <col min="2009" max="2009" width="58" style="7" customWidth="1"/>
    <col min="2010" max="2251" width="8.6640625" style="7"/>
    <col min="2252" max="2252" width="4.44140625" style="7" customWidth="1"/>
    <col min="2253" max="2253" width="13.6640625" style="7" customWidth="1"/>
    <col min="2254" max="2254" width="42.5546875" style="7" customWidth="1"/>
    <col min="2255" max="2255" width="5.88671875" style="7" bestFit="1" customWidth="1"/>
    <col min="2256" max="2256" width="16" style="7" bestFit="1" customWidth="1"/>
    <col min="2257" max="2257" width="17.109375" style="7" bestFit="1" customWidth="1"/>
    <col min="2258" max="2258" width="2.6640625" style="7" customWidth="1"/>
    <col min="2259" max="2259" width="3.109375" style="7" customWidth="1"/>
    <col min="2260" max="2260" width="9.6640625" style="7" customWidth="1"/>
    <col min="2261" max="2261" width="16.33203125" style="7" bestFit="1" customWidth="1"/>
    <col min="2262" max="2262" width="14.109375" style="7" customWidth="1"/>
    <col min="2263" max="2263" width="15.33203125" style="7" bestFit="1" customWidth="1"/>
    <col min="2264" max="2264" width="10.44140625" style="7" bestFit="1" customWidth="1"/>
    <col min="2265" max="2265" width="58" style="7" customWidth="1"/>
    <col min="2266" max="2507" width="8.6640625" style="7"/>
    <col min="2508" max="2508" width="4.44140625" style="7" customWidth="1"/>
    <col min="2509" max="2509" width="13.6640625" style="7" customWidth="1"/>
    <col min="2510" max="2510" width="42.5546875" style="7" customWidth="1"/>
    <col min="2511" max="2511" width="5.88671875" style="7" bestFit="1" customWidth="1"/>
    <col min="2512" max="2512" width="16" style="7" bestFit="1" customWidth="1"/>
    <col min="2513" max="2513" width="17.109375" style="7" bestFit="1" customWidth="1"/>
    <col min="2514" max="2514" width="2.6640625" style="7" customWidth="1"/>
    <col min="2515" max="2515" width="3.109375" style="7" customWidth="1"/>
    <col min="2516" max="2516" width="9.6640625" style="7" customWidth="1"/>
    <col min="2517" max="2517" width="16.33203125" style="7" bestFit="1" customWidth="1"/>
    <col min="2518" max="2518" width="14.109375" style="7" customWidth="1"/>
    <col min="2519" max="2519" width="15.33203125" style="7" bestFit="1" customWidth="1"/>
    <col min="2520" max="2520" width="10.44140625" style="7" bestFit="1" customWidth="1"/>
    <col min="2521" max="2521" width="58" style="7" customWidth="1"/>
    <col min="2522" max="2763" width="8.6640625" style="7"/>
    <col min="2764" max="2764" width="4.44140625" style="7" customWidth="1"/>
    <col min="2765" max="2765" width="13.6640625" style="7" customWidth="1"/>
    <col min="2766" max="2766" width="42.5546875" style="7" customWidth="1"/>
    <col min="2767" max="2767" width="5.88671875" style="7" bestFit="1" customWidth="1"/>
    <col min="2768" max="2768" width="16" style="7" bestFit="1" customWidth="1"/>
    <col min="2769" max="2769" width="17.109375" style="7" bestFit="1" customWidth="1"/>
    <col min="2770" max="2770" width="2.6640625" style="7" customWidth="1"/>
    <col min="2771" max="2771" width="3.109375" style="7" customWidth="1"/>
    <col min="2772" max="2772" width="9.6640625" style="7" customWidth="1"/>
    <col min="2773" max="2773" width="16.33203125" style="7" bestFit="1" customWidth="1"/>
    <col min="2774" max="2774" width="14.109375" style="7" customWidth="1"/>
    <col min="2775" max="2775" width="15.33203125" style="7" bestFit="1" customWidth="1"/>
    <col min="2776" max="2776" width="10.44140625" style="7" bestFit="1" customWidth="1"/>
    <col min="2777" max="2777" width="58" style="7" customWidth="1"/>
    <col min="2778" max="3019" width="8.6640625" style="7"/>
    <col min="3020" max="3020" width="4.44140625" style="7" customWidth="1"/>
    <col min="3021" max="3021" width="13.6640625" style="7" customWidth="1"/>
    <col min="3022" max="3022" width="42.5546875" style="7" customWidth="1"/>
    <col min="3023" max="3023" width="5.88671875" style="7" bestFit="1" customWidth="1"/>
    <col min="3024" max="3024" width="16" style="7" bestFit="1" customWidth="1"/>
    <col min="3025" max="3025" width="17.109375" style="7" bestFit="1" customWidth="1"/>
    <col min="3026" max="3026" width="2.6640625" style="7" customWidth="1"/>
    <col min="3027" max="3027" width="3.109375" style="7" customWidth="1"/>
    <col min="3028" max="3028" width="9.6640625" style="7" customWidth="1"/>
    <col min="3029" max="3029" width="16.33203125" style="7" bestFit="1" customWidth="1"/>
    <col min="3030" max="3030" width="14.109375" style="7" customWidth="1"/>
    <col min="3031" max="3031" width="15.33203125" style="7" bestFit="1" customWidth="1"/>
    <col min="3032" max="3032" width="10.44140625" style="7" bestFit="1" customWidth="1"/>
    <col min="3033" max="3033" width="58" style="7" customWidth="1"/>
    <col min="3034" max="3275" width="8.6640625" style="7"/>
    <col min="3276" max="3276" width="4.44140625" style="7" customWidth="1"/>
    <col min="3277" max="3277" width="13.6640625" style="7" customWidth="1"/>
    <col min="3278" max="3278" width="42.5546875" style="7" customWidth="1"/>
    <col min="3279" max="3279" width="5.88671875" style="7" bestFit="1" customWidth="1"/>
    <col min="3280" max="3280" width="16" style="7" bestFit="1" customWidth="1"/>
    <col min="3281" max="3281" width="17.109375" style="7" bestFit="1" customWidth="1"/>
    <col min="3282" max="3282" width="2.6640625" style="7" customWidth="1"/>
    <col min="3283" max="3283" width="3.109375" style="7" customWidth="1"/>
    <col min="3284" max="3284" width="9.6640625" style="7" customWidth="1"/>
    <col min="3285" max="3285" width="16.33203125" style="7" bestFit="1" customWidth="1"/>
    <col min="3286" max="3286" width="14.109375" style="7" customWidth="1"/>
    <col min="3287" max="3287" width="15.33203125" style="7" bestFit="1" customWidth="1"/>
    <col min="3288" max="3288" width="10.44140625" style="7" bestFit="1" customWidth="1"/>
    <col min="3289" max="3289" width="58" style="7" customWidth="1"/>
    <col min="3290" max="3531" width="8.6640625" style="7"/>
    <col min="3532" max="3532" width="4.44140625" style="7" customWidth="1"/>
    <col min="3533" max="3533" width="13.6640625" style="7" customWidth="1"/>
    <col min="3534" max="3534" width="42.5546875" style="7" customWidth="1"/>
    <col min="3535" max="3535" width="5.88671875" style="7" bestFit="1" customWidth="1"/>
    <col min="3536" max="3536" width="16" style="7" bestFit="1" customWidth="1"/>
    <col min="3537" max="3537" width="17.109375" style="7" bestFit="1" customWidth="1"/>
    <col min="3538" max="3538" width="2.6640625" style="7" customWidth="1"/>
    <col min="3539" max="3539" width="3.109375" style="7" customWidth="1"/>
    <col min="3540" max="3540" width="9.6640625" style="7" customWidth="1"/>
    <col min="3541" max="3541" width="16.33203125" style="7" bestFit="1" customWidth="1"/>
    <col min="3542" max="3542" width="14.109375" style="7" customWidth="1"/>
    <col min="3543" max="3543" width="15.33203125" style="7" bestFit="1" customWidth="1"/>
    <col min="3544" max="3544" width="10.44140625" style="7" bestFit="1" customWidth="1"/>
    <col min="3545" max="3545" width="58" style="7" customWidth="1"/>
    <col min="3546" max="3787" width="8.6640625" style="7"/>
    <col min="3788" max="3788" width="4.44140625" style="7" customWidth="1"/>
    <col min="3789" max="3789" width="13.6640625" style="7" customWidth="1"/>
    <col min="3790" max="3790" width="42.5546875" style="7" customWidth="1"/>
    <col min="3791" max="3791" width="5.88671875" style="7" bestFit="1" customWidth="1"/>
    <col min="3792" max="3792" width="16" style="7" bestFit="1" customWidth="1"/>
    <col min="3793" max="3793" width="17.109375" style="7" bestFit="1" customWidth="1"/>
    <col min="3794" max="3794" width="2.6640625" style="7" customWidth="1"/>
    <col min="3795" max="3795" width="3.109375" style="7" customWidth="1"/>
    <col min="3796" max="3796" width="9.6640625" style="7" customWidth="1"/>
    <col min="3797" max="3797" width="16.33203125" style="7" bestFit="1" customWidth="1"/>
    <col min="3798" max="3798" width="14.109375" style="7" customWidth="1"/>
    <col min="3799" max="3799" width="15.33203125" style="7" bestFit="1" customWidth="1"/>
    <col min="3800" max="3800" width="10.44140625" style="7" bestFit="1" customWidth="1"/>
    <col min="3801" max="3801" width="58" style="7" customWidth="1"/>
    <col min="3802" max="4043" width="8.6640625" style="7"/>
    <col min="4044" max="4044" width="4.44140625" style="7" customWidth="1"/>
    <col min="4045" max="4045" width="13.6640625" style="7" customWidth="1"/>
    <col min="4046" max="4046" width="42.5546875" style="7" customWidth="1"/>
    <col min="4047" max="4047" width="5.88671875" style="7" bestFit="1" customWidth="1"/>
    <col min="4048" max="4048" width="16" style="7" bestFit="1" customWidth="1"/>
    <col min="4049" max="4049" width="17.109375" style="7" bestFit="1" customWidth="1"/>
    <col min="4050" max="4050" width="2.6640625" style="7" customWidth="1"/>
    <col min="4051" max="4051" width="3.109375" style="7" customWidth="1"/>
    <col min="4052" max="4052" width="9.6640625" style="7" customWidth="1"/>
    <col min="4053" max="4053" width="16.33203125" style="7" bestFit="1" customWidth="1"/>
    <col min="4054" max="4054" width="14.109375" style="7" customWidth="1"/>
    <col min="4055" max="4055" width="15.33203125" style="7" bestFit="1" customWidth="1"/>
    <col min="4056" max="4056" width="10.44140625" style="7" bestFit="1" customWidth="1"/>
    <col min="4057" max="4057" width="58" style="7" customWidth="1"/>
    <col min="4058" max="4299" width="8.6640625" style="7"/>
    <col min="4300" max="4300" width="4.44140625" style="7" customWidth="1"/>
    <col min="4301" max="4301" width="13.6640625" style="7" customWidth="1"/>
    <col min="4302" max="4302" width="42.5546875" style="7" customWidth="1"/>
    <col min="4303" max="4303" width="5.88671875" style="7" bestFit="1" customWidth="1"/>
    <col min="4304" max="4304" width="16" style="7" bestFit="1" customWidth="1"/>
    <col min="4305" max="4305" width="17.109375" style="7" bestFit="1" customWidth="1"/>
    <col min="4306" max="4306" width="2.6640625" style="7" customWidth="1"/>
    <col min="4307" max="4307" width="3.109375" style="7" customWidth="1"/>
    <col min="4308" max="4308" width="9.6640625" style="7" customWidth="1"/>
    <col min="4309" max="4309" width="16.33203125" style="7" bestFit="1" customWidth="1"/>
    <col min="4310" max="4310" width="14.109375" style="7" customWidth="1"/>
    <col min="4311" max="4311" width="15.33203125" style="7" bestFit="1" customWidth="1"/>
    <col min="4312" max="4312" width="10.44140625" style="7" bestFit="1" customWidth="1"/>
    <col min="4313" max="4313" width="58" style="7" customWidth="1"/>
    <col min="4314" max="4555" width="8.6640625" style="7"/>
    <col min="4556" max="4556" width="4.44140625" style="7" customWidth="1"/>
    <col min="4557" max="4557" width="13.6640625" style="7" customWidth="1"/>
    <col min="4558" max="4558" width="42.5546875" style="7" customWidth="1"/>
    <col min="4559" max="4559" width="5.88671875" style="7" bestFit="1" customWidth="1"/>
    <col min="4560" max="4560" width="16" style="7" bestFit="1" customWidth="1"/>
    <col min="4561" max="4561" width="17.109375" style="7" bestFit="1" customWidth="1"/>
    <col min="4562" max="4562" width="2.6640625" style="7" customWidth="1"/>
    <col min="4563" max="4563" width="3.109375" style="7" customWidth="1"/>
    <col min="4564" max="4564" width="9.6640625" style="7" customWidth="1"/>
    <col min="4565" max="4565" width="16.33203125" style="7" bestFit="1" customWidth="1"/>
    <col min="4566" max="4566" width="14.109375" style="7" customWidth="1"/>
    <col min="4567" max="4567" width="15.33203125" style="7" bestFit="1" customWidth="1"/>
    <col min="4568" max="4568" width="10.44140625" style="7" bestFit="1" customWidth="1"/>
    <col min="4569" max="4569" width="58" style="7" customWidth="1"/>
    <col min="4570" max="4811" width="8.6640625" style="7"/>
    <col min="4812" max="4812" width="4.44140625" style="7" customWidth="1"/>
    <col min="4813" max="4813" width="13.6640625" style="7" customWidth="1"/>
    <col min="4814" max="4814" width="42.5546875" style="7" customWidth="1"/>
    <col min="4815" max="4815" width="5.88671875" style="7" bestFit="1" customWidth="1"/>
    <col min="4816" max="4816" width="16" style="7" bestFit="1" customWidth="1"/>
    <col min="4817" max="4817" width="17.109375" style="7" bestFit="1" customWidth="1"/>
    <col min="4818" max="4818" width="2.6640625" style="7" customWidth="1"/>
    <col min="4819" max="4819" width="3.109375" style="7" customWidth="1"/>
    <col min="4820" max="4820" width="9.6640625" style="7" customWidth="1"/>
    <col min="4821" max="4821" width="16.33203125" style="7" bestFit="1" customWidth="1"/>
    <col min="4822" max="4822" width="14.109375" style="7" customWidth="1"/>
    <col min="4823" max="4823" width="15.33203125" style="7" bestFit="1" customWidth="1"/>
    <col min="4824" max="4824" width="10.44140625" style="7" bestFit="1" customWidth="1"/>
    <col min="4825" max="4825" width="58" style="7" customWidth="1"/>
    <col min="4826" max="5067" width="8.6640625" style="7"/>
    <col min="5068" max="5068" width="4.44140625" style="7" customWidth="1"/>
    <col min="5069" max="5069" width="13.6640625" style="7" customWidth="1"/>
    <col min="5070" max="5070" width="42.5546875" style="7" customWidth="1"/>
    <col min="5071" max="5071" width="5.88671875" style="7" bestFit="1" customWidth="1"/>
    <col min="5072" max="5072" width="16" style="7" bestFit="1" customWidth="1"/>
    <col min="5073" max="5073" width="17.109375" style="7" bestFit="1" customWidth="1"/>
    <col min="5074" max="5074" width="2.6640625" style="7" customWidth="1"/>
    <col min="5075" max="5075" width="3.109375" style="7" customWidth="1"/>
    <col min="5076" max="5076" width="9.6640625" style="7" customWidth="1"/>
    <col min="5077" max="5077" width="16.33203125" style="7" bestFit="1" customWidth="1"/>
    <col min="5078" max="5078" width="14.109375" style="7" customWidth="1"/>
    <col min="5079" max="5079" width="15.33203125" style="7" bestFit="1" customWidth="1"/>
    <col min="5080" max="5080" width="10.44140625" style="7" bestFit="1" customWidth="1"/>
    <col min="5081" max="5081" width="58" style="7" customWidth="1"/>
    <col min="5082" max="5323" width="8.6640625" style="7"/>
    <col min="5324" max="5324" width="4.44140625" style="7" customWidth="1"/>
    <col min="5325" max="5325" width="13.6640625" style="7" customWidth="1"/>
    <col min="5326" max="5326" width="42.5546875" style="7" customWidth="1"/>
    <col min="5327" max="5327" width="5.88671875" style="7" bestFit="1" customWidth="1"/>
    <col min="5328" max="5328" width="16" style="7" bestFit="1" customWidth="1"/>
    <col min="5329" max="5329" width="17.109375" style="7" bestFit="1" customWidth="1"/>
    <col min="5330" max="5330" width="2.6640625" style="7" customWidth="1"/>
    <col min="5331" max="5331" width="3.109375" style="7" customWidth="1"/>
    <col min="5332" max="5332" width="9.6640625" style="7" customWidth="1"/>
    <col min="5333" max="5333" width="16.33203125" style="7" bestFit="1" customWidth="1"/>
    <col min="5334" max="5334" width="14.109375" style="7" customWidth="1"/>
    <col min="5335" max="5335" width="15.33203125" style="7" bestFit="1" customWidth="1"/>
    <col min="5336" max="5336" width="10.44140625" style="7" bestFit="1" customWidth="1"/>
    <col min="5337" max="5337" width="58" style="7" customWidth="1"/>
    <col min="5338" max="5579" width="8.6640625" style="7"/>
    <col min="5580" max="5580" width="4.44140625" style="7" customWidth="1"/>
    <col min="5581" max="5581" width="13.6640625" style="7" customWidth="1"/>
    <col min="5582" max="5582" width="42.5546875" style="7" customWidth="1"/>
    <col min="5583" max="5583" width="5.88671875" style="7" bestFit="1" customWidth="1"/>
    <col min="5584" max="5584" width="16" style="7" bestFit="1" customWidth="1"/>
    <col min="5585" max="5585" width="17.109375" style="7" bestFit="1" customWidth="1"/>
    <col min="5586" max="5586" width="2.6640625" style="7" customWidth="1"/>
    <col min="5587" max="5587" width="3.109375" style="7" customWidth="1"/>
    <col min="5588" max="5588" width="9.6640625" style="7" customWidth="1"/>
    <col min="5589" max="5589" width="16.33203125" style="7" bestFit="1" customWidth="1"/>
    <col min="5590" max="5590" width="14.109375" style="7" customWidth="1"/>
    <col min="5591" max="5591" width="15.33203125" style="7" bestFit="1" customWidth="1"/>
    <col min="5592" max="5592" width="10.44140625" style="7" bestFit="1" customWidth="1"/>
    <col min="5593" max="5593" width="58" style="7" customWidth="1"/>
    <col min="5594" max="5835" width="8.6640625" style="7"/>
    <col min="5836" max="5836" width="4.44140625" style="7" customWidth="1"/>
    <col min="5837" max="5837" width="13.6640625" style="7" customWidth="1"/>
    <col min="5838" max="5838" width="42.5546875" style="7" customWidth="1"/>
    <col min="5839" max="5839" width="5.88671875" style="7" bestFit="1" customWidth="1"/>
    <col min="5840" max="5840" width="16" style="7" bestFit="1" customWidth="1"/>
    <col min="5841" max="5841" width="17.109375" style="7" bestFit="1" customWidth="1"/>
    <col min="5842" max="5842" width="2.6640625" style="7" customWidth="1"/>
    <col min="5843" max="5843" width="3.109375" style="7" customWidth="1"/>
    <col min="5844" max="5844" width="9.6640625" style="7" customWidth="1"/>
    <col min="5845" max="5845" width="16.33203125" style="7" bestFit="1" customWidth="1"/>
    <col min="5846" max="5846" width="14.109375" style="7" customWidth="1"/>
    <col min="5847" max="5847" width="15.33203125" style="7" bestFit="1" customWidth="1"/>
    <col min="5848" max="5848" width="10.44140625" style="7" bestFit="1" customWidth="1"/>
    <col min="5849" max="5849" width="58" style="7" customWidth="1"/>
    <col min="5850" max="6091" width="8.6640625" style="7"/>
    <col min="6092" max="6092" width="4.44140625" style="7" customWidth="1"/>
    <col min="6093" max="6093" width="13.6640625" style="7" customWidth="1"/>
    <col min="6094" max="6094" width="42.5546875" style="7" customWidth="1"/>
    <col min="6095" max="6095" width="5.88671875" style="7" bestFit="1" customWidth="1"/>
    <col min="6096" max="6096" width="16" style="7" bestFit="1" customWidth="1"/>
    <col min="6097" max="6097" width="17.109375" style="7" bestFit="1" customWidth="1"/>
    <col min="6098" max="6098" width="2.6640625" style="7" customWidth="1"/>
    <col min="6099" max="6099" width="3.109375" style="7" customWidth="1"/>
    <col min="6100" max="6100" width="9.6640625" style="7" customWidth="1"/>
    <col min="6101" max="6101" width="16.33203125" style="7" bestFit="1" customWidth="1"/>
    <col min="6102" max="6102" width="14.109375" style="7" customWidth="1"/>
    <col min="6103" max="6103" width="15.33203125" style="7" bestFit="1" customWidth="1"/>
    <col min="6104" max="6104" width="10.44140625" style="7" bestFit="1" customWidth="1"/>
    <col min="6105" max="6105" width="58" style="7" customWidth="1"/>
    <col min="6106" max="6347" width="8.6640625" style="7"/>
    <col min="6348" max="6348" width="4.44140625" style="7" customWidth="1"/>
    <col min="6349" max="6349" width="13.6640625" style="7" customWidth="1"/>
    <col min="6350" max="6350" width="42.5546875" style="7" customWidth="1"/>
    <col min="6351" max="6351" width="5.88671875" style="7" bestFit="1" customWidth="1"/>
    <col min="6352" max="6352" width="16" style="7" bestFit="1" customWidth="1"/>
    <col min="6353" max="6353" width="17.109375" style="7" bestFit="1" customWidth="1"/>
    <col min="6354" max="6354" width="2.6640625" style="7" customWidth="1"/>
    <col min="6355" max="6355" width="3.109375" style="7" customWidth="1"/>
    <col min="6356" max="6356" width="9.6640625" style="7" customWidth="1"/>
    <col min="6357" max="6357" width="16.33203125" style="7" bestFit="1" customWidth="1"/>
    <col min="6358" max="6358" width="14.109375" style="7" customWidth="1"/>
    <col min="6359" max="6359" width="15.33203125" style="7" bestFit="1" customWidth="1"/>
    <col min="6360" max="6360" width="10.44140625" style="7" bestFit="1" customWidth="1"/>
    <col min="6361" max="6361" width="58" style="7" customWidth="1"/>
    <col min="6362" max="6603" width="8.6640625" style="7"/>
    <col min="6604" max="6604" width="4.44140625" style="7" customWidth="1"/>
    <col min="6605" max="6605" width="13.6640625" style="7" customWidth="1"/>
    <col min="6606" max="6606" width="42.5546875" style="7" customWidth="1"/>
    <col min="6607" max="6607" width="5.88671875" style="7" bestFit="1" customWidth="1"/>
    <col min="6608" max="6608" width="16" style="7" bestFit="1" customWidth="1"/>
    <col min="6609" max="6609" width="17.109375" style="7" bestFit="1" customWidth="1"/>
    <col min="6610" max="6610" width="2.6640625" style="7" customWidth="1"/>
    <col min="6611" max="6611" width="3.109375" style="7" customWidth="1"/>
    <col min="6612" max="6612" width="9.6640625" style="7" customWidth="1"/>
    <col min="6613" max="6613" width="16.33203125" style="7" bestFit="1" customWidth="1"/>
    <col min="6614" max="6614" width="14.109375" style="7" customWidth="1"/>
    <col min="6615" max="6615" width="15.33203125" style="7" bestFit="1" customWidth="1"/>
    <col min="6616" max="6616" width="10.44140625" style="7" bestFit="1" customWidth="1"/>
    <col min="6617" max="6617" width="58" style="7" customWidth="1"/>
    <col min="6618" max="6859" width="8.6640625" style="7"/>
    <col min="6860" max="6860" width="4.44140625" style="7" customWidth="1"/>
    <col min="6861" max="6861" width="13.6640625" style="7" customWidth="1"/>
    <col min="6862" max="6862" width="42.5546875" style="7" customWidth="1"/>
    <col min="6863" max="6863" width="5.88671875" style="7" bestFit="1" customWidth="1"/>
    <col min="6864" max="6864" width="16" style="7" bestFit="1" customWidth="1"/>
    <col min="6865" max="6865" width="17.109375" style="7" bestFit="1" customWidth="1"/>
    <col min="6866" max="6866" width="2.6640625" style="7" customWidth="1"/>
    <col min="6867" max="6867" width="3.109375" style="7" customWidth="1"/>
    <col min="6868" max="6868" width="9.6640625" style="7" customWidth="1"/>
    <col min="6869" max="6869" width="16.33203125" style="7" bestFit="1" customWidth="1"/>
    <col min="6870" max="6870" width="14.109375" style="7" customWidth="1"/>
    <col min="6871" max="6871" width="15.33203125" style="7" bestFit="1" customWidth="1"/>
    <col min="6872" max="6872" width="10.44140625" style="7" bestFit="1" customWidth="1"/>
    <col min="6873" max="6873" width="58" style="7" customWidth="1"/>
    <col min="6874" max="7115" width="8.6640625" style="7"/>
    <col min="7116" max="7116" width="4.44140625" style="7" customWidth="1"/>
    <col min="7117" max="7117" width="13.6640625" style="7" customWidth="1"/>
    <col min="7118" max="7118" width="42.5546875" style="7" customWidth="1"/>
    <col min="7119" max="7119" width="5.88671875" style="7" bestFit="1" customWidth="1"/>
    <col min="7120" max="7120" width="16" style="7" bestFit="1" customWidth="1"/>
    <col min="7121" max="7121" width="17.109375" style="7" bestFit="1" customWidth="1"/>
    <col min="7122" max="7122" width="2.6640625" style="7" customWidth="1"/>
    <col min="7123" max="7123" width="3.109375" style="7" customWidth="1"/>
    <col min="7124" max="7124" width="9.6640625" style="7" customWidth="1"/>
    <col min="7125" max="7125" width="16.33203125" style="7" bestFit="1" customWidth="1"/>
    <col min="7126" max="7126" width="14.109375" style="7" customWidth="1"/>
    <col min="7127" max="7127" width="15.33203125" style="7" bestFit="1" customWidth="1"/>
    <col min="7128" max="7128" width="10.44140625" style="7" bestFit="1" customWidth="1"/>
    <col min="7129" max="7129" width="58" style="7" customWidth="1"/>
    <col min="7130" max="7371" width="8.6640625" style="7"/>
    <col min="7372" max="7372" width="4.44140625" style="7" customWidth="1"/>
    <col min="7373" max="7373" width="13.6640625" style="7" customWidth="1"/>
    <col min="7374" max="7374" width="42.5546875" style="7" customWidth="1"/>
    <col min="7375" max="7375" width="5.88671875" style="7" bestFit="1" customWidth="1"/>
    <col min="7376" max="7376" width="16" style="7" bestFit="1" customWidth="1"/>
    <col min="7377" max="7377" width="17.109375" style="7" bestFit="1" customWidth="1"/>
    <col min="7378" max="7378" width="2.6640625" style="7" customWidth="1"/>
    <col min="7379" max="7379" width="3.109375" style="7" customWidth="1"/>
    <col min="7380" max="7380" width="9.6640625" style="7" customWidth="1"/>
    <col min="7381" max="7381" width="16.33203125" style="7" bestFit="1" customWidth="1"/>
    <col min="7382" max="7382" width="14.109375" style="7" customWidth="1"/>
    <col min="7383" max="7383" width="15.33203125" style="7" bestFit="1" customWidth="1"/>
    <col min="7384" max="7384" width="10.44140625" style="7" bestFit="1" customWidth="1"/>
    <col min="7385" max="7385" width="58" style="7" customWidth="1"/>
    <col min="7386" max="7627" width="8.6640625" style="7"/>
    <col min="7628" max="7628" width="4.44140625" style="7" customWidth="1"/>
    <col min="7629" max="7629" width="13.6640625" style="7" customWidth="1"/>
    <col min="7630" max="7630" width="42.5546875" style="7" customWidth="1"/>
    <col min="7631" max="7631" width="5.88671875" style="7" bestFit="1" customWidth="1"/>
    <col min="7632" max="7632" width="16" style="7" bestFit="1" customWidth="1"/>
    <col min="7633" max="7633" width="17.109375" style="7" bestFit="1" customWidth="1"/>
    <col min="7634" max="7634" width="2.6640625" style="7" customWidth="1"/>
    <col min="7635" max="7635" width="3.109375" style="7" customWidth="1"/>
    <col min="7636" max="7636" width="9.6640625" style="7" customWidth="1"/>
    <col min="7637" max="7637" width="16.33203125" style="7" bestFit="1" customWidth="1"/>
    <col min="7638" max="7638" width="14.109375" style="7" customWidth="1"/>
    <col min="7639" max="7639" width="15.33203125" style="7" bestFit="1" customWidth="1"/>
    <col min="7640" max="7640" width="10.44140625" style="7" bestFit="1" customWidth="1"/>
    <col min="7641" max="7641" width="58" style="7" customWidth="1"/>
    <col min="7642" max="7883" width="8.6640625" style="7"/>
    <col min="7884" max="7884" width="4.44140625" style="7" customWidth="1"/>
    <col min="7885" max="7885" width="13.6640625" style="7" customWidth="1"/>
    <col min="7886" max="7886" width="42.5546875" style="7" customWidth="1"/>
    <col min="7887" max="7887" width="5.88671875" style="7" bestFit="1" customWidth="1"/>
    <col min="7888" max="7888" width="16" style="7" bestFit="1" customWidth="1"/>
    <col min="7889" max="7889" width="17.109375" style="7" bestFit="1" customWidth="1"/>
    <col min="7890" max="7890" width="2.6640625" style="7" customWidth="1"/>
    <col min="7891" max="7891" width="3.109375" style="7" customWidth="1"/>
    <col min="7892" max="7892" width="9.6640625" style="7" customWidth="1"/>
    <col min="7893" max="7893" width="16.33203125" style="7" bestFit="1" customWidth="1"/>
    <col min="7894" max="7894" width="14.109375" style="7" customWidth="1"/>
    <col min="7895" max="7895" width="15.33203125" style="7" bestFit="1" customWidth="1"/>
    <col min="7896" max="7896" width="10.44140625" style="7" bestFit="1" customWidth="1"/>
    <col min="7897" max="7897" width="58" style="7" customWidth="1"/>
    <col min="7898" max="8139" width="8.6640625" style="7"/>
    <col min="8140" max="8140" width="4.44140625" style="7" customWidth="1"/>
    <col min="8141" max="8141" width="13.6640625" style="7" customWidth="1"/>
    <col min="8142" max="8142" width="42.5546875" style="7" customWidth="1"/>
    <col min="8143" max="8143" width="5.88671875" style="7" bestFit="1" customWidth="1"/>
    <col min="8144" max="8144" width="16" style="7" bestFit="1" customWidth="1"/>
    <col min="8145" max="8145" width="17.109375" style="7" bestFit="1" customWidth="1"/>
    <col min="8146" max="8146" width="2.6640625" style="7" customWidth="1"/>
    <col min="8147" max="8147" width="3.109375" style="7" customWidth="1"/>
    <col min="8148" max="8148" width="9.6640625" style="7" customWidth="1"/>
    <col min="8149" max="8149" width="16.33203125" style="7" bestFit="1" customWidth="1"/>
    <col min="8150" max="8150" width="14.109375" style="7" customWidth="1"/>
    <col min="8151" max="8151" width="15.33203125" style="7" bestFit="1" customWidth="1"/>
    <col min="8152" max="8152" width="10.44140625" style="7" bestFit="1" customWidth="1"/>
    <col min="8153" max="8153" width="58" style="7" customWidth="1"/>
    <col min="8154" max="8395" width="8.6640625" style="7"/>
    <col min="8396" max="8396" width="4.44140625" style="7" customWidth="1"/>
    <col min="8397" max="8397" width="13.6640625" style="7" customWidth="1"/>
    <col min="8398" max="8398" width="42.5546875" style="7" customWidth="1"/>
    <col min="8399" max="8399" width="5.88671875" style="7" bestFit="1" customWidth="1"/>
    <col min="8400" max="8400" width="16" style="7" bestFit="1" customWidth="1"/>
    <col min="8401" max="8401" width="17.109375" style="7" bestFit="1" customWidth="1"/>
    <col min="8402" max="8402" width="2.6640625" style="7" customWidth="1"/>
    <col min="8403" max="8403" width="3.109375" style="7" customWidth="1"/>
    <col min="8404" max="8404" width="9.6640625" style="7" customWidth="1"/>
    <col min="8405" max="8405" width="16.33203125" style="7" bestFit="1" customWidth="1"/>
    <col min="8406" max="8406" width="14.109375" style="7" customWidth="1"/>
    <col min="8407" max="8407" width="15.33203125" style="7" bestFit="1" customWidth="1"/>
    <col min="8408" max="8408" width="10.44140625" style="7" bestFit="1" customWidth="1"/>
    <col min="8409" max="8409" width="58" style="7" customWidth="1"/>
    <col min="8410" max="8651" width="8.6640625" style="7"/>
    <col min="8652" max="8652" width="4.44140625" style="7" customWidth="1"/>
    <col min="8653" max="8653" width="13.6640625" style="7" customWidth="1"/>
    <col min="8654" max="8654" width="42.5546875" style="7" customWidth="1"/>
    <col min="8655" max="8655" width="5.88671875" style="7" bestFit="1" customWidth="1"/>
    <col min="8656" max="8656" width="16" style="7" bestFit="1" customWidth="1"/>
    <col min="8657" max="8657" width="17.109375" style="7" bestFit="1" customWidth="1"/>
    <col min="8658" max="8658" width="2.6640625" style="7" customWidth="1"/>
    <col min="8659" max="8659" width="3.109375" style="7" customWidth="1"/>
    <col min="8660" max="8660" width="9.6640625" style="7" customWidth="1"/>
    <col min="8661" max="8661" width="16.33203125" style="7" bestFit="1" customWidth="1"/>
    <col min="8662" max="8662" width="14.109375" style="7" customWidth="1"/>
    <col min="8663" max="8663" width="15.33203125" style="7" bestFit="1" customWidth="1"/>
    <col min="8664" max="8664" width="10.44140625" style="7" bestFit="1" customWidth="1"/>
    <col min="8665" max="8665" width="58" style="7" customWidth="1"/>
    <col min="8666" max="8907" width="8.6640625" style="7"/>
    <col min="8908" max="8908" width="4.44140625" style="7" customWidth="1"/>
    <col min="8909" max="8909" width="13.6640625" style="7" customWidth="1"/>
    <col min="8910" max="8910" width="42.5546875" style="7" customWidth="1"/>
    <col min="8911" max="8911" width="5.88671875" style="7" bestFit="1" customWidth="1"/>
    <col min="8912" max="8912" width="16" style="7" bestFit="1" customWidth="1"/>
    <col min="8913" max="8913" width="17.109375" style="7" bestFit="1" customWidth="1"/>
    <col min="8914" max="8914" width="2.6640625" style="7" customWidth="1"/>
    <col min="8915" max="8915" width="3.109375" style="7" customWidth="1"/>
    <col min="8916" max="8916" width="9.6640625" style="7" customWidth="1"/>
    <col min="8917" max="8917" width="16.33203125" style="7" bestFit="1" customWidth="1"/>
    <col min="8918" max="8918" width="14.109375" style="7" customWidth="1"/>
    <col min="8919" max="8919" width="15.33203125" style="7" bestFit="1" customWidth="1"/>
    <col min="8920" max="8920" width="10.44140625" style="7" bestFit="1" customWidth="1"/>
    <col min="8921" max="8921" width="58" style="7" customWidth="1"/>
    <col min="8922" max="9163" width="8.6640625" style="7"/>
    <col min="9164" max="9164" width="4.44140625" style="7" customWidth="1"/>
    <col min="9165" max="9165" width="13.6640625" style="7" customWidth="1"/>
    <col min="9166" max="9166" width="42.5546875" style="7" customWidth="1"/>
    <col min="9167" max="9167" width="5.88671875" style="7" bestFit="1" customWidth="1"/>
    <col min="9168" max="9168" width="16" style="7" bestFit="1" customWidth="1"/>
    <col min="9169" max="9169" width="17.109375" style="7" bestFit="1" customWidth="1"/>
    <col min="9170" max="9170" width="2.6640625" style="7" customWidth="1"/>
    <col min="9171" max="9171" width="3.109375" style="7" customWidth="1"/>
    <col min="9172" max="9172" width="9.6640625" style="7" customWidth="1"/>
    <col min="9173" max="9173" width="16.33203125" style="7" bestFit="1" customWidth="1"/>
    <col min="9174" max="9174" width="14.109375" style="7" customWidth="1"/>
    <col min="9175" max="9175" width="15.33203125" style="7" bestFit="1" customWidth="1"/>
    <col min="9176" max="9176" width="10.44140625" style="7" bestFit="1" customWidth="1"/>
    <col min="9177" max="9177" width="58" style="7" customWidth="1"/>
    <col min="9178" max="9419" width="8.6640625" style="7"/>
    <col min="9420" max="9420" width="4.44140625" style="7" customWidth="1"/>
    <col min="9421" max="9421" width="13.6640625" style="7" customWidth="1"/>
    <col min="9422" max="9422" width="42.5546875" style="7" customWidth="1"/>
    <col min="9423" max="9423" width="5.88671875" style="7" bestFit="1" customWidth="1"/>
    <col min="9424" max="9424" width="16" style="7" bestFit="1" customWidth="1"/>
    <col min="9425" max="9425" width="17.109375" style="7" bestFit="1" customWidth="1"/>
    <col min="9426" max="9426" width="2.6640625" style="7" customWidth="1"/>
    <col min="9427" max="9427" width="3.109375" style="7" customWidth="1"/>
    <col min="9428" max="9428" width="9.6640625" style="7" customWidth="1"/>
    <col min="9429" max="9429" width="16.33203125" style="7" bestFit="1" customWidth="1"/>
    <col min="9430" max="9430" width="14.109375" style="7" customWidth="1"/>
    <col min="9431" max="9431" width="15.33203125" style="7" bestFit="1" customWidth="1"/>
    <col min="9432" max="9432" width="10.44140625" style="7" bestFit="1" customWidth="1"/>
    <col min="9433" max="9433" width="58" style="7" customWidth="1"/>
    <col min="9434" max="9675" width="8.6640625" style="7"/>
    <col min="9676" max="9676" width="4.44140625" style="7" customWidth="1"/>
    <col min="9677" max="9677" width="13.6640625" style="7" customWidth="1"/>
    <col min="9678" max="9678" width="42.5546875" style="7" customWidth="1"/>
    <col min="9679" max="9679" width="5.88671875" style="7" bestFit="1" customWidth="1"/>
    <col min="9680" max="9680" width="16" style="7" bestFit="1" customWidth="1"/>
    <col min="9681" max="9681" width="17.109375" style="7" bestFit="1" customWidth="1"/>
    <col min="9682" max="9682" width="2.6640625" style="7" customWidth="1"/>
    <col min="9683" max="9683" width="3.109375" style="7" customWidth="1"/>
    <col min="9684" max="9684" width="9.6640625" style="7" customWidth="1"/>
    <col min="9685" max="9685" width="16.33203125" style="7" bestFit="1" customWidth="1"/>
    <col min="9686" max="9686" width="14.109375" style="7" customWidth="1"/>
    <col min="9687" max="9687" width="15.33203125" style="7" bestFit="1" customWidth="1"/>
    <col min="9688" max="9688" width="10.44140625" style="7" bestFit="1" customWidth="1"/>
    <col min="9689" max="9689" width="58" style="7" customWidth="1"/>
    <col min="9690" max="9931" width="8.6640625" style="7"/>
    <col min="9932" max="9932" width="4.44140625" style="7" customWidth="1"/>
    <col min="9933" max="9933" width="13.6640625" style="7" customWidth="1"/>
    <col min="9934" max="9934" width="42.5546875" style="7" customWidth="1"/>
    <col min="9935" max="9935" width="5.88671875" style="7" bestFit="1" customWidth="1"/>
    <col min="9936" max="9936" width="16" style="7" bestFit="1" customWidth="1"/>
    <col min="9937" max="9937" width="17.109375" style="7" bestFit="1" customWidth="1"/>
    <col min="9938" max="9938" width="2.6640625" style="7" customWidth="1"/>
    <col min="9939" max="9939" width="3.109375" style="7" customWidth="1"/>
    <col min="9940" max="9940" width="9.6640625" style="7" customWidth="1"/>
    <col min="9941" max="9941" width="16.33203125" style="7" bestFit="1" customWidth="1"/>
    <col min="9942" max="9942" width="14.109375" style="7" customWidth="1"/>
    <col min="9943" max="9943" width="15.33203125" style="7" bestFit="1" customWidth="1"/>
    <col min="9944" max="9944" width="10.44140625" style="7" bestFit="1" customWidth="1"/>
    <col min="9945" max="9945" width="58" style="7" customWidth="1"/>
    <col min="9946" max="10187" width="8.6640625" style="7"/>
    <col min="10188" max="10188" width="4.44140625" style="7" customWidth="1"/>
    <col min="10189" max="10189" width="13.6640625" style="7" customWidth="1"/>
    <col min="10190" max="10190" width="42.5546875" style="7" customWidth="1"/>
    <col min="10191" max="10191" width="5.88671875" style="7" bestFit="1" customWidth="1"/>
    <col min="10192" max="10192" width="16" style="7" bestFit="1" customWidth="1"/>
    <col min="10193" max="10193" width="17.109375" style="7" bestFit="1" customWidth="1"/>
    <col min="10194" max="10194" width="2.6640625" style="7" customWidth="1"/>
    <col min="10195" max="10195" width="3.109375" style="7" customWidth="1"/>
    <col min="10196" max="10196" width="9.6640625" style="7" customWidth="1"/>
    <col min="10197" max="10197" width="16.33203125" style="7" bestFit="1" customWidth="1"/>
    <col min="10198" max="10198" width="14.109375" style="7" customWidth="1"/>
    <col min="10199" max="10199" width="15.33203125" style="7" bestFit="1" customWidth="1"/>
    <col min="10200" max="10200" width="10.44140625" style="7" bestFit="1" customWidth="1"/>
    <col min="10201" max="10201" width="58" style="7" customWidth="1"/>
    <col min="10202" max="10443" width="8.6640625" style="7"/>
    <col min="10444" max="10444" width="4.44140625" style="7" customWidth="1"/>
    <col min="10445" max="10445" width="13.6640625" style="7" customWidth="1"/>
    <col min="10446" max="10446" width="42.5546875" style="7" customWidth="1"/>
    <col min="10447" max="10447" width="5.88671875" style="7" bestFit="1" customWidth="1"/>
    <col min="10448" max="10448" width="16" style="7" bestFit="1" customWidth="1"/>
    <col min="10449" max="10449" width="17.109375" style="7" bestFit="1" customWidth="1"/>
    <col min="10450" max="10450" width="2.6640625" style="7" customWidth="1"/>
    <col min="10451" max="10451" width="3.109375" style="7" customWidth="1"/>
    <col min="10452" max="10452" width="9.6640625" style="7" customWidth="1"/>
    <col min="10453" max="10453" width="16.33203125" style="7" bestFit="1" customWidth="1"/>
    <col min="10454" max="10454" width="14.109375" style="7" customWidth="1"/>
    <col min="10455" max="10455" width="15.33203125" style="7" bestFit="1" customWidth="1"/>
    <col min="10456" max="10456" width="10.44140625" style="7" bestFit="1" customWidth="1"/>
    <col min="10457" max="10457" width="58" style="7" customWidth="1"/>
    <col min="10458" max="10699" width="8.6640625" style="7"/>
    <col min="10700" max="10700" width="4.44140625" style="7" customWidth="1"/>
    <col min="10701" max="10701" width="13.6640625" style="7" customWidth="1"/>
    <col min="10702" max="10702" width="42.5546875" style="7" customWidth="1"/>
    <col min="10703" max="10703" width="5.88671875" style="7" bestFit="1" customWidth="1"/>
    <col min="10704" max="10704" width="16" style="7" bestFit="1" customWidth="1"/>
    <col min="10705" max="10705" width="17.109375" style="7" bestFit="1" customWidth="1"/>
    <col min="10706" max="10706" width="2.6640625" style="7" customWidth="1"/>
    <col min="10707" max="10707" width="3.109375" style="7" customWidth="1"/>
    <col min="10708" max="10708" width="9.6640625" style="7" customWidth="1"/>
    <col min="10709" max="10709" width="16.33203125" style="7" bestFit="1" customWidth="1"/>
    <col min="10710" max="10710" width="14.109375" style="7" customWidth="1"/>
    <col min="10711" max="10711" width="15.33203125" style="7" bestFit="1" customWidth="1"/>
    <col min="10712" max="10712" width="10.44140625" style="7" bestFit="1" customWidth="1"/>
    <col min="10713" max="10713" width="58" style="7" customWidth="1"/>
    <col min="10714" max="10955" width="8.6640625" style="7"/>
    <col min="10956" max="10956" width="4.44140625" style="7" customWidth="1"/>
    <col min="10957" max="10957" width="13.6640625" style="7" customWidth="1"/>
    <col min="10958" max="10958" width="42.5546875" style="7" customWidth="1"/>
    <col min="10959" max="10959" width="5.88671875" style="7" bestFit="1" customWidth="1"/>
    <col min="10960" max="10960" width="16" style="7" bestFit="1" customWidth="1"/>
    <col min="10961" max="10961" width="17.109375" style="7" bestFit="1" customWidth="1"/>
    <col min="10962" max="10962" width="2.6640625" style="7" customWidth="1"/>
    <col min="10963" max="10963" width="3.109375" style="7" customWidth="1"/>
    <col min="10964" max="10964" width="9.6640625" style="7" customWidth="1"/>
    <col min="10965" max="10965" width="16.33203125" style="7" bestFit="1" customWidth="1"/>
    <col min="10966" max="10966" width="14.109375" style="7" customWidth="1"/>
    <col min="10967" max="10967" width="15.33203125" style="7" bestFit="1" customWidth="1"/>
    <col min="10968" max="10968" width="10.44140625" style="7" bestFit="1" customWidth="1"/>
    <col min="10969" max="10969" width="58" style="7" customWidth="1"/>
    <col min="10970" max="11211" width="8.6640625" style="7"/>
    <col min="11212" max="11212" width="4.44140625" style="7" customWidth="1"/>
    <col min="11213" max="11213" width="13.6640625" style="7" customWidth="1"/>
    <col min="11214" max="11214" width="42.5546875" style="7" customWidth="1"/>
    <col min="11215" max="11215" width="5.88671875" style="7" bestFit="1" customWidth="1"/>
    <col min="11216" max="11216" width="16" style="7" bestFit="1" customWidth="1"/>
    <col min="11217" max="11217" width="17.109375" style="7" bestFit="1" customWidth="1"/>
    <col min="11218" max="11218" width="2.6640625" style="7" customWidth="1"/>
    <col min="11219" max="11219" width="3.109375" style="7" customWidth="1"/>
    <col min="11220" max="11220" width="9.6640625" style="7" customWidth="1"/>
    <col min="11221" max="11221" width="16.33203125" style="7" bestFit="1" customWidth="1"/>
    <col min="11222" max="11222" width="14.109375" style="7" customWidth="1"/>
    <col min="11223" max="11223" width="15.33203125" style="7" bestFit="1" customWidth="1"/>
    <col min="11224" max="11224" width="10.44140625" style="7" bestFit="1" customWidth="1"/>
    <col min="11225" max="11225" width="58" style="7" customWidth="1"/>
    <col min="11226" max="11467" width="8.6640625" style="7"/>
    <col min="11468" max="11468" width="4.44140625" style="7" customWidth="1"/>
    <col min="11469" max="11469" width="13.6640625" style="7" customWidth="1"/>
    <col min="11470" max="11470" width="42.5546875" style="7" customWidth="1"/>
    <col min="11471" max="11471" width="5.88671875" style="7" bestFit="1" customWidth="1"/>
    <col min="11472" max="11472" width="16" style="7" bestFit="1" customWidth="1"/>
    <col min="11473" max="11473" width="17.109375" style="7" bestFit="1" customWidth="1"/>
    <col min="11474" max="11474" width="2.6640625" style="7" customWidth="1"/>
    <col min="11475" max="11475" width="3.109375" style="7" customWidth="1"/>
    <col min="11476" max="11476" width="9.6640625" style="7" customWidth="1"/>
    <col min="11477" max="11477" width="16.33203125" style="7" bestFit="1" customWidth="1"/>
    <col min="11478" max="11478" width="14.109375" style="7" customWidth="1"/>
    <col min="11479" max="11479" width="15.33203125" style="7" bestFit="1" customWidth="1"/>
    <col min="11480" max="11480" width="10.44140625" style="7" bestFit="1" customWidth="1"/>
    <col min="11481" max="11481" width="58" style="7" customWidth="1"/>
    <col min="11482" max="11723" width="8.6640625" style="7"/>
    <col min="11724" max="11724" width="4.44140625" style="7" customWidth="1"/>
    <col min="11725" max="11725" width="13.6640625" style="7" customWidth="1"/>
    <col min="11726" max="11726" width="42.5546875" style="7" customWidth="1"/>
    <col min="11727" max="11727" width="5.88671875" style="7" bestFit="1" customWidth="1"/>
    <col min="11728" max="11728" width="16" style="7" bestFit="1" customWidth="1"/>
    <col min="11729" max="11729" width="17.109375" style="7" bestFit="1" customWidth="1"/>
    <col min="11730" max="11730" width="2.6640625" style="7" customWidth="1"/>
    <col min="11731" max="11731" width="3.109375" style="7" customWidth="1"/>
    <col min="11732" max="11732" width="9.6640625" style="7" customWidth="1"/>
    <col min="11733" max="11733" width="16.33203125" style="7" bestFit="1" customWidth="1"/>
    <col min="11734" max="11734" width="14.109375" style="7" customWidth="1"/>
    <col min="11735" max="11735" width="15.33203125" style="7" bestFit="1" customWidth="1"/>
    <col min="11736" max="11736" width="10.44140625" style="7" bestFit="1" customWidth="1"/>
    <col min="11737" max="11737" width="58" style="7" customWidth="1"/>
    <col min="11738" max="11979" width="8.6640625" style="7"/>
    <col min="11980" max="11980" width="4.44140625" style="7" customWidth="1"/>
    <col min="11981" max="11981" width="13.6640625" style="7" customWidth="1"/>
    <col min="11982" max="11982" width="42.5546875" style="7" customWidth="1"/>
    <col min="11983" max="11983" width="5.88671875" style="7" bestFit="1" customWidth="1"/>
    <col min="11984" max="11984" width="16" style="7" bestFit="1" customWidth="1"/>
    <col min="11985" max="11985" width="17.109375" style="7" bestFit="1" customWidth="1"/>
    <col min="11986" max="11986" width="2.6640625" style="7" customWidth="1"/>
    <col min="11987" max="11987" width="3.109375" style="7" customWidth="1"/>
    <col min="11988" max="11988" width="9.6640625" style="7" customWidth="1"/>
    <col min="11989" max="11989" width="16.33203125" style="7" bestFit="1" customWidth="1"/>
    <col min="11990" max="11990" width="14.109375" style="7" customWidth="1"/>
    <col min="11991" max="11991" width="15.33203125" style="7" bestFit="1" customWidth="1"/>
    <col min="11992" max="11992" width="10.44140625" style="7" bestFit="1" customWidth="1"/>
    <col min="11993" max="11993" width="58" style="7" customWidth="1"/>
    <col min="11994" max="12235" width="8.6640625" style="7"/>
    <col min="12236" max="12236" width="4.44140625" style="7" customWidth="1"/>
    <col min="12237" max="12237" width="13.6640625" style="7" customWidth="1"/>
    <col min="12238" max="12238" width="42.5546875" style="7" customWidth="1"/>
    <col min="12239" max="12239" width="5.88671875" style="7" bestFit="1" customWidth="1"/>
    <col min="12240" max="12240" width="16" style="7" bestFit="1" customWidth="1"/>
    <col min="12241" max="12241" width="17.109375" style="7" bestFit="1" customWidth="1"/>
    <col min="12242" max="12242" width="2.6640625" style="7" customWidth="1"/>
    <col min="12243" max="12243" width="3.109375" style="7" customWidth="1"/>
    <col min="12244" max="12244" width="9.6640625" style="7" customWidth="1"/>
    <col min="12245" max="12245" width="16.33203125" style="7" bestFit="1" customWidth="1"/>
    <col min="12246" max="12246" width="14.109375" style="7" customWidth="1"/>
    <col min="12247" max="12247" width="15.33203125" style="7" bestFit="1" customWidth="1"/>
    <col min="12248" max="12248" width="10.44140625" style="7" bestFit="1" customWidth="1"/>
    <col min="12249" max="12249" width="58" style="7" customWidth="1"/>
    <col min="12250" max="12491" width="8.6640625" style="7"/>
    <col min="12492" max="12492" width="4.44140625" style="7" customWidth="1"/>
    <col min="12493" max="12493" width="13.6640625" style="7" customWidth="1"/>
    <col min="12494" max="12494" width="42.5546875" style="7" customWidth="1"/>
    <col min="12495" max="12495" width="5.88671875" style="7" bestFit="1" customWidth="1"/>
    <col min="12496" max="12496" width="16" style="7" bestFit="1" customWidth="1"/>
    <col min="12497" max="12497" width="17.109375" style="7" bestFit="1" customWidth="1"/>
    <col min="12498" max="12498" width="2.6640625" style="7" customWidth="1"/>
    <col min="12499" max="12499" width="3.109375" style="7" customWidth="1"/>
    <col min="12500" max="12500" width="9.6640625" style="7" customWidth="1"/>
    <col min="12501" max="12501" width="16.33203125" style="7" bestFit="1" customWidth="1"/>
    <col min="12502" max="12502" width="14.109375" style="7" customWidth="1"/>
    <col min="12503" max="12503" width="15.33203125" style="7" bestFit="1" customWidth="1"/>
    <col min="12504" max="12504" width="10.44140625" style="7" bestFit="1" customWidth="1"/>
    <col min="12505" max="12505" width="58" style="7" customWidth="1"/>
    <col min="12506" max="12747" width="8.6640625" style="7"/>
    <col min="12748" max="12748" width="4.44140625" style="7" customWidth="1"/>
    <col min="12749" max="12749" width="13.6640625" style="7" customWidth="1"/>
    <col min="12750" max="12750" width="42.5546875" style="7" customWidth="1"/>
    <col min="12751" max="12751" width="5.88671875" style="7" bestFit="1" customWidth="1"/>
    <col min="12752" max="12752" width="16" style="7" bestFit="1" customWidth="1"/>
    <col min="12753" max="12753" width="17.109375" style="7" bestFit="1" customWidth="1"/>
    <col min="12754" max="12754" width="2.6640625" style="7" customWidth="1"/>
    <col min="12755" max="12755" width="3.109375" style="7" customWidth="1"/>
    <col min="12756" max="12756" width="9.6640625" style="7" customWidth="1"/>
    <col min="12757" max="12757" width="16.33203125" style="7" bestFit="1" customWidth="1"/>
    <col min="12758" max="12758" width="14.109375" style="7" customWidth="1"/>
    <col min="12759" max="12759" width="15.33203125" style="7" bestFit="1" customWidth="1"/>
    <col min="12760" max="12760" width="10.44140625" style="7" bestFit="1" customWidth="1"/>
    <col min="12761" max="12761" width="58" style="7" customWidth="1"/>
    <col min="12762" max="13003" width="8.6640625" style="7"/>
    <col min="13004" max="13004" width="4.44140625" style="7" customWidth="1"/>
    <col min="13005" max="13005" width="13.6640625" style="7" customWidth="1"/>
    <col min="13006" max="13006" width="42.5546875" style="7" customWidth="1"/>
    <col min="13007" max="13007" width="5.88671875" style="7" bestFit="1" customWidth="1"/>
    <col min="13008" max="13008" width="16" style="7" bestFit="1" customWidth="1"/>
    <col min="13009" max="13009" width="17.109375" style="7" bestFit="1" customWidth="1"/>
    <col min="13010" max="13010" width="2.6640625" style="7" customWidth="1"/>
    <col min="13011" max="13011" width="3.109375" style="7" customWidth="1"/>
    <col min="13012" max="13012" width="9.6640625" style="7" customWidth="1"/>
    <col min="13013" max="13013" width="16.33203125" style="7" bestFit="1" customWidth="1"/>
    <col min="13014" max="13014" width="14.109375" style="7" customWidth="1"/>
    <col min="13015" max="13015" width="15.33203125" style="7" bestFit="1" customWidth="1"/>
    <col min="13016" max="13016" width="10.44140625" style="7" bestFit="1" customWidth="1"/>
    <col min="13017" max="13017" width="58" style="7" customWidth="1"/>
    <col min="13018" max="13259" width="8.6640625" style="7"/>
    <col min="13260" max="13260" width="4.44140625" style="7" customWidth="1"/>
    <col min="13261" max="13261" width="13.6640625" style="7" customWidth="1"/>
    <col min="13262" max="13262" width="42.5546875" style="7" customWidth="1"/>
    <col min="13263" max="13263" width="5.88671875" style="7" bestFit="1" customWidth="1"/>
    <col min="13264" max="13264" width="16" style="7" bestFit="1" customWidth="1"/>
    <col min="13265" max="13265" width="17.109375" style="7" bestFit="1" customWidth="1"/>
    <col min="13266" max="13266" width="2.6640625" style="7" customWidth="1"/>
    <col min="13267" max="13267" width="3.109375" style="7" customWidth="1"/>
    <col min="13268" max="13268" width="9.6640625" style="7" customWidth="1"/>
    <col min="13269" max="13269" width="16.33203125" style="7" bestFit="1" customWidth="1"/>
    <col min="13270" max="13270" width="14.109375" style="7" customWidth="1"/>
    <col min="13271" max="13271" width="15.33203125" style="7" bestFit="1" customWidth="1"/>
    <col min="13272" max="13272" width="10.44140625" style="7" bestFit="1" customWidth="1"/>
    <col min="13273" max="13273" width="58" style="7" customWidth="1"/>
    <col min="13274" max="13515" width="8.6640625" style="7"/>
    <col min="13516" max="13516" width="4.44140625" style="7" customWidth="1"/>
    <col min="13517" max="13517" width="13.6640625" style="7" customWidth="1"/>
    <col min="13518" max="13518" width="42.5546875" style="7" customWidth="1"/>
    <col min="13519" max="13519" width="5.88671875" style="7" bestFit="1" customWidth="1"/>
    <col min="13520" max="13520" width="16" style="7" bestFit="1" customWidth="1"/>
    <col min="13521" max="13521" width="17.109375" style="7" bestFit="1" customWidth="1"/>
    <col min="13522" max="13522" width="2.6640625" style="7" customWidth="1"/>
    <col min="13523" max="13523" width="3.109375" style="7" customWidth="1"/>
    <col min="13524" max="13524" width="9.6640625" style="7" customWidth="1"/>
    <col min="13525" max="13525" width="16.33203125" style="7" bestFit="1" customWidth="1"/>
    <col min="13526" max="13526" width="14.109375" style="7" customWidth="1"/>
    <col min="13527" max="13527" width="15.33203125" style="7" bestFit="1" customWidth="1"/>
    <col min="13528" max="13528" width="10.44140625" style="7" bestFit="1" customWidth="1"/>
    <col min="13529" max="13529" width="58" style="7" customWidth="1"/>
    <col min="13530" max="13771" width="8.6640625" style="7"/>
    <col min="13772" max="13772" width="4.44140625" style="7" customWidth="1"/>
    <col min="13773" max="13773" width="13.6640625" style="7" customWidth="1"/>
    <col min="13774" max="13774" width="42.5546875" style="7" customWidth="1"/>
    <col min="13775" max="13775" width="5.88671875" style="7" bestFit="1" customWidth="1"/>
    <col min="13776" max="13776" width="16" style="7" bestFit="1" customWidth="1"/>
    <col min="13777" max="13777" width="17.109375" style="7" bestFit="1" customWidth="1"/>
    <col min="13778" max="13778" width="2.6640625" style="7" customWidth="1"/>
    <col min="13779" max="13779" width="3.109375" style="7" customWidth="1"/>
    <col min="13780" max="13780" width="9.6640625" style="7" customWidth="1"/>
    <col min="13781" max="13781" width="16.33203125" style="7" bestFit="1" customWidth="1"/>
    <col min="13782" max="13782" width="14.109375" style="7" customWidth="1"/>
    <col min="13783" max="13783" width="15.33203125" style="7" bestFit="1" customWidth="1"/>
    <col min="13784" max="13784" width="10.44140625" style="7" bestFit="1" customWidth="1"/>
    <col min="13785" max="13785" width="58" style="7" customWidth="1"/>
    <col min="13786" max="14027" width="8.6640625" style="7"/>
    <col min="14028" max="14028" width="4.44140625" style="7" customWidth="1"/>
    <col min="14029" max="14029" width="13.6640625" style="7" customWidth="1"/>
    <col min="14030" max="14030" width="42.5546875" style="7" customWidth="1"/>
    <col min="14031" max="14031" width="5.88671875" style="7" bestFit="1" customWidth="1"/>
    <col min="14032" max="14032" width="16" style="7" bestFit="1" customWidth="1"/>
    <col min="14033" max="14033" width="17.109375" style="7" bestFit="1" customWidth="1"/>
    <col min="14034" max="14034" width="2.6640625" style="7" customWidth="1"/>
    <col min="14035" max="14035" width="3.109375" style="7" customWidth="1"/>
    <col min="14036" max="14036" width="9.6640625" style="7" customWidth="1"/>
    <col min="14037" max="14037" width="16.33203125" style="7" bestFit="1" customWidth="1"/>
    <col min="14038" max="14038" width="14.109375" style="7" customWidth="1"/>
    <col min="14039" max="14039" width="15.33203125" style="7" bestFit="1" customWidth="1"/>
    <col min="14040" max="14040" width="10.44140625" style="7" bestFit="1" customWidth="1"/>
    <col min="14041" max="14041" width="58" style="7" customWidth="1"/>
    <col min="14042" max="14283" width="8.6640625" style="7"/>
    <col min="14284" max="14284" width="4.44140625" style="7" customWidth="1"/>
    <col min="14285" max="14285" width="13.6640625" style="7" customWidth="1"/>
    <col min="14286" max="14286" width="42.5546875" style="7" customWidth="1"/>
    <col min="14287" max="14287" width="5.88671875" style="7" bestFit="1" customWidth="1"/>
    <col min="14288" max="14288" width="16" style="7" bestFit="1" customWidth="1"/>
    <col min="14289" max="14289" width="17.109375" style="7" bestFit="1" customWidth="1"/>
    <col min="14290" max="14290" width="2.6640625" style="7" customWidth="1"/>
    <col min="14291" max="14291" width="3.109375" style="7" customWidth="1"/>
    <col min="14292" max="14292" width="9.6640625" style="7" customWidth="1"/>
    <col min="14293" max="14293" width="16.33203125" style="7" bestFit="1" customWidth="1"/>
    <col min="14294" max="14294" width="14.109375" style="7" customWidth="1"/>
    <col min="14295" max="14295" width="15.33203125" style="7" bestFit="1" customWidth="1"/>
    <col min="14296" max="14296" width="10.44140625" style="7" bestFit="1" customWidth="1"/>
    <col min="14297" max="14297" width="58" style="7" customWidth="1"/>
    <col min="14298" max="14539" width="8.6640625" style="7"/>
    <col min="14540" max="14540" width="4.44140625" style="7" customWidth="1"/>
    <col min="14541" max="14541" width="13.6640625" style="7" customWidth="1"/>
    <col min="14542" max="14542" width="42.5546875" style="7" customWidth="1"/>
    <col min="14543" max="14543" width="5.88671875" style="7" bestFit="1" customWidth="1"/>
    <col min="14544" max="14544" width="16" style="7" bestFit="1" customWidth="1"/>
    <col min="14545" max="14545" width="17.109375" style="7" bestFit="1" customWidth="1"/>
    <col min="14546" max="14546" width="2.6640625" style="7" customWidth="1"/>
    <col min="14547" max="14547" width="3.109375" style="7" customWidth="1"/>
    <col min="14548" max="14548" width="9.6640625" style="7" customWidth="1"/>
    <col min="14549" max="14549" width="16.33203125" style="7" bestFit="1" customWidth="1"/>
    <col min="14550" max="14550" width="14.109375" style="7" customWidth="1"/>
    <col min="14551" max="14551" width="15.33203125" style="7" bestFit="1" customWidth="1"/>
    <col min="14552" max="14552" width="10.44140625" style="7" bestFit="1" customWidth="1"/>
    <col min="14553" max="14553" width="58" style="7" customWidth="1"/>
    <col min="14554" max="14795" width="8.6640625" style="7"/>
    <col min="14796" max="14796" width="4.44140625" style="7" customWidth="1"/>
    <col min="14797" max="14797" width="13.6640625" style="7" customWidth="1"/>
    <col min="14798" max="14798" width="42.5546875" style="7" customWidth="1"/>
    <col min="14799" max="14799" width="5.88671875" style="7" bestFit="1" customWidth="1"/>
    <col min="14800" max="14800" width="16" style="7" bestFit="1" customWidth="1"/>
    <col min="14801" max="14801" width="17.109375" style="7" bestFit="1" customWidth="1"/>
    <col min="14802" max="14802" width="2.6640625" style="7" customWidth="1"/>
    <col min="14803" max="14803" width="3.109375" style="7" customWidth="1"/>
    <col min="14804" max="14804" width="9.6640625" style="7" customWidth="1"/>
    <col min="14805" max="14805" width="16.33203125" style="7" bestFit="1" customWidth="1"/>
    <col min="14806" max="14806" width="14.109375" style="7" customWidth="1"/>
    <col min="14807" max="14807" width="15.33203125" style="7" bestFit="1" customWidth="1"/>
    <col min="14808" max="14808" width="10.44140625" style="7" bestFit="1" customWidth="1"/>
    <col min="14809" max="14809" width="58" style="7" customWidth="1"/>
    <col min="14810" max="15051" width="8.6640625" style="7"/>
    <col min="15052" max="15052" width="4.44140625" style="7" customWidth="1"/>
    <col min="15053" max="15053" width="13.6640625" style="7" customWidth="1"/>
    <col min="15054" max="15054" width="42.5546875" style="7" customWidth="1"/>
    <col min="15055" max="15055" width="5.88671875" style="7" bestFit="1" customWidth="1"/>
    <col min="15056" max="15056" width="16" style="7" bestFit="1" customWidth="1"/>
    <col min="15057" max="15057" width="17.109375" style="7" bestFit="1" customWidth="1"/>
    <col min="15058" max="15058" width="2.6640625" style="7" customWidth="1"/>
    <col min="15059" max="15059" width="3.109375" style="7" customWidth="1"/>
    <col min="15060" max="15060" width="9.6640625" style="7" customWidth="1"/>
    <col min="15061" max="15061" width="16.33203125" style="7" bestFit="1" customWidth="1"/>
    <col min="15062" max="15062" width="14.109375" style="7" customWidth="1"/>
    <col min="15063" max="15063" width="15.33203125" style="7" bestFit="1" customWidth="1"/>
    <col min="15064" max="15064" width="10.44140625" style="7" bestFit="1" customWidth="1"/>
    <col min="15065" max="15065" width="58" style="7" customWidth="1"/>
    <col min="15066" max="15307" width="8.6640625" style="7"/>
    <col min="15308" max="15308" width="4.44140625" style="7" customWidth="1"/>
    <col min="15309" max="15309" width="13.6640625" style="7" customWidth="1"/>
    <col min="15310" max="15310" width="42.5546875" style="7" customWidth="1"/>
    <col min="15311" max="15311" width="5.88671875" style="7" bestFit="1" customWidth="1"/>
    <col min="15312" max="15312" width="16" style="7" bestFit="1" customWidth="1"/>
    <col min="15313" max="15313" width="17.109375" style="7" bestFit="1" customWidth="1"/>
    <col min="15314" max="15314" width="2.6640625" style="7" customWidth="1"/>
    <col min="15315" max="15315" width="3.109375" style="7" customWidth="1"/>
    <col min="15316" max="15316" width="9.6640625" style="7" customWidth="1"/>
    <col min="15317" max="15317" width="16.33203125" style="7" bestFit="1" customWidth="1"/>
    <col min="15318" max="15318" width="14.109375" style="7" customWidth="1"/>
    <col min="15319" max="15319" width="15.33203125" style="7" bestFit="1" customWidth="1"/>
    <col min="15320" max="15320" width="10.44140625" style="7" bestFit="1" customWidth="1"/>
    <col min="15321" max="15321" width="58" style="7" customWidth="1"/>
    <col min="15322" max="15563" width="8.6640625" style="7"/>
    <col min="15564" max="15564" width="4.44140625" style="7" customWidth="1"/>
    <col min="15565" max="15565" width="13.6640625" style="7" customWidth="1"/>
    <col min="15566" max="15566" width="42.5546875" style="7" customWidth="1"/>
    <col min="15567" max="15567" width="5.88671875" style="7" bestFit="1" customWidth="1"/>
    <col min="15568" max="15568" width="16" style="7" bestFit="1" customWidth="1"/>
    <col min="15569" max="15569" width="17.109375" style="7" bestFit="1" customWidth="1"/>
    <col min="15570" max="15570" width="2.6640625" style="7" customWidth="1"/>
    <col min="15571" max="15571" width="3.109375" style="7" customWidth="1"/>
    <col min="15572" max="15572" width="9.6640625" style="7" customWidth="1"/>
    <col min="15573" max="15573" width="16.33203125" style="7" bestFit="1" customWidth="1"/>
    <col min="15574" max="15574" width="14.109375" style="7" customWidth="1"/>
    <col min="15575" max="15575" width="15.33203125" style="7" bestFit="1" customWidth="1"/>
    <col min="15576" max="15576" width="10.44140625" style="7" bestFit="1" customWidth="1"/>
    <col min="15577" max="15577" width="58" style="7" customWidth="1"/>
    <col min="15578" max="15819" width="8.6640625" style="7"/>
    <col min="15820" max="15820" width="4.44140625" style="7" customWidth="1"/>
    <col min="15821" max="15821" width="13.6640625" style="7" customWidth="1"/>
    <col min="15822" max="15822" width="42.5546875" style="7" customWidth="1"/>
    <col min="15823" max="15823" width="5.88671875" style="7" bestFit="1" customWidth="1"/>
    <col min="15824" max="15824" width="16" style="7" bestFit="1" customWidth="1"/>
    <col min="15825" max="15825" width="17.109375" style="7" bestFit="1" customWidth="1"/>
    <col min="15826" max="15826" width="2.6640625" style="7" customWidth="1"/>
    <col min="15827" max="15827" width="3.109375" style="7" customWidth="1"/>
    <col min="15828" max="15828" width="9.6640625" style="7" customWidth="1"/>
    <col min="15829" max="15829" width="16.33203125" style="7" bestFit="1" customWidth="1"/>
    <col min="15830" max="15830" width="14.109375" style="7" customWidth="1"/>
    <col min="15831" max="15831" width="15.33203125" style="7" bestFit="1" customWidth="1"/>
    <col min="15832" max="15832" width="10.44140625" style="7" bestFit="1" customWidth="1"/>
    <col min="15833" max="15833" width="58" style="7" customWidth="1"/>
    <col min="15834" max="16075" width="8.6640625" style="7"/>
    <col min="16076" max="16076" width="4.44140625" style="7" customWidth="1"/>
    <col min="16077" max="16077" width="13.6640625" style="7" customWidth="1"/>
    <col min="16078" max="16078" width="42.5546875" style="7" customWidth="1"/>
    <col min="16079" max="16079" width="5.88671875" style="7" bestFit="1" customWidth="1"/>
    <col min="16080" max="16080" width="16" style="7" bestFit="1" customWidth="1"/>
    <col min="16081" max="16081" width="17.109375" style="7" bestFit="1" customWidth="1"/>
    <col min="16082" max="16082" width="2.6640625" style="7" customWidth="1"/>
    <col min="16083" max="16083" width="3.109375" style="7" customWidth="1"/>
    <col min="16084" max="16084" width="9.6640625" style="7" customWidth="1"/>
    <col min="16085" max="16085" width="16.33203125" style="7" bestFit="1" customWidth="1"/>
    <col min="16086" max="16086" width="14.109375" style="7" customWidth="1"/>
    <col min="16087" max="16087" width="15.33203125" style="7" bestFit="1" customWidth="1"/>
    <col min="16088" max="16088" width="10.44140625" style="7" bestFit="1" customWidth="1"/>
    <col min="16089" max="16089" width="58" style="7" customWidth="1"/>
    <col min="16090" max="16384" width="8.6640625" style="7"/>
  </cols>
  <sheetData>
    <row r="1" spans="1:6" ht="23.25" hidden="1" customHeight="1" outlineLevel="1" thickBot="1" x14ac:dyDescent="0.35">
      <c r="B1" s="2" t="s">
        <v>0</v>
      </c>
      <c r="C1" s="71"/>
      <c r="D1" s="72"/>
      <c r="F1" s="4" t="s">
        <v>1</v>
      </c>
    </row>
    <row r="2" spans="1:6" ht="23.25" hidden="1" customHeight="1" outlineLevel="1" x14ac:dyDescent="0.3">
      <c r="B2" s="8" t="s">
        <v>3</v>
      </c>
      <c r="C2" s="75"/>
      <c r="D2" s="76"/>
      <c r="F2" s="9" t="s">
        <v>4</v>
      </c>
    </row>
    <row r="3" spans="1:6" ht="23.25" hidden="1" customHeight="1" outlineLevel="1" x14ac:dyDescent="0.3">
      <c r="B3" s="8" t="s">
        <v>6</v>
      </c>
      <c r="C3" s="79"/>
      <c r="D3" s="76"/>
      <c r="F3" s="9" t="s">
        <v>7</v>
      </c>
    </row>
    <row r="4" spans="1:6" ht="23.25" hidden="1" customHeight="1" outlineLevel="1" x14ac:dyDescent="0.3">
      <c r="B4" s="8" t="s">
        <v>9</v>
      </c>
      <c r="C4" s="79"/>
      <c r="D4" s="76"/>
      <c r="F4" s="9" t="s">
        <v>10</v>
      </c>
    </row>
    <row r="5" spans="1:6" ht="23.25" hidden="1" customHeight="1" outlineLevel="1" x14ac:dyDescent="0.3">
      <c r="B5" s="8" t="s">
        <v>12</v>
      </c>
      <c r="C5" s="79"/>
      <c r="D5" s="76"/>
      <c r="F5" s="9" t="s">
        <v>13</v>
      </c>
    </row>
    <row r="6" spans="1:6" ht="23.25" hidden="1" customHeight="1" outlineLevel="1" thickBot="1" x14ac:dyDescent="0.35">
      <c r="B6" s="12" t="s">
        <v>14</v>
      </c>
      <c r="C6" s="81"/>
      <c r="D6" s="82"/>
      <c r="F6" s="13" t="s">
        <v>15</v>
      </c>
    </row>
    <row r="7" spans="1:6" hidden="1" outlineLevel="1" x14ac:dyDescent="0.3">
      <c r="D7" s="27"/>
      <c r="E7" s="7"/>
      <c r="F7" s="7"/>
    </row>
    <row r="8" spans="1:6" ht="19.5" customHeight="1" collapsed="1" x14ac:dyDescent="0.3">
      <c r="D8" s="27"/>
      <c r="E8" s="7"/>
      <c r="F8" s="7"/>
    </row>
    <row r="9" spans="1:6" ht="19.5" customHeight="1" x14ac:dyDescent="0.3">
      <c r="D9" s="27"/>
      <c r="E9" s="7"/>
      <c r="F9" s="7"/>
    </row>
    <row r="10" spans="1:6" ht="13.8" x14ac:dyDescent="0.3">
      <c r="A10" s="29" t="s">
        <v>16</v>
      </c>
      <c r="B10" s="29" t="s">
        <v>17</v>
      </c>
      <c r="C10" s="29" t="s">
        <v>18</v>
      </c>
      <c r="D10" s="29" t="s">
        <v>19</v>
      </c>
      <c r="E10" s="29" t="s">
        <v>20</v>
      </c>
      <c r="F10" s="29" t="s">
        <v>21</v>
      </c>
    </row>
    <row r="11" spans="1:6" ht="13.8" x14ac:dyDescent="0.3">
      <c r="A11" s="29" t="s">
        <v>55</v>
      </c>
      <c r="B11" s="88" t="s">
        <v>53</v>
      </c>
      <c r="C11" s="89"/>
      <c r="D11" s="89"/>
      <c r="E11" s="89"/>
      <c r="F11" s="90"/>
    </row>
    <row r="12" spans="1:6" ht="145.19999999999999" hidden="1" x14ac:dyDescent="0.3">
      <c r="A12" s="29" t="s">
        <v>79</v>
      </c>
      <c r="B12" s="37" t="s">
        <v>76</v>
      </c>
      <c r="C12" s="42" t="s">
        <v>83</v>
      </c>
      <c r="D12" s="33">
        <v>0</v>
      </c>
      <c r="E12" s="31">
        <v>26829</v>
      </c>
      <c r="F12" s="26">
        <v>0</v>
      </c>
    </row>
    <row r="13" spans="1:6" ht="26.4" hidden="1" x14ac:dyDescent="0.3">
      <c r="A13" s="29" t="s">
        <v>79</v>
      </c>
      <c r="B13" s="37" t="s">
        <v>82</v>
      </c>
      <c r="C13" s="42" t="s">
        <v>89</v>
      </c>
      <c r="D13" s="33">
        <v>0</v>
      </c>
      <c r="E13" s="31">
        <v>5854</v>
      </c>
      <c r="F13" s="26">
        <v>0</v>
      </c>
    </row>
    <row r="14" spans="1:6" ht="158.4" x14ac:dyDescent="0.3">
      <c r="A14" s="29">
        <v>1</v>
      </c>
      <c r="B14" s="41" t="s">
        <v>80</v>
      </c>
      <c r="C14" s="42" t="s">
        <v>81</v>
      </c>
      <c r="D14" s="33">
        <v>1</v>
      </c>
      <c r="E14" s="31">
        <v>24390</v>
      </c>
      <c r="F14" s="26">
        <v>24390</v>
      </c>
    </row>
    <row r="15" spans="1:6" ht="92.4" x14ac:dyDescent="0.3">
      <c r="A15" s="29">
        <v>2</v>
      </c>
      <c r="B15" s="37" t="s">
        <v>77</v>
      </c>
      <c r="C15" s="42" t="s">
        <v>78</v>
      </c>
      <c r="D15" s="33">
        <v>1</v>
      </c>
      <c r="E15" s="31">
        <v>1831</v>
      </c>
      <c r="F15" s="26">
        <v>1831</v>
      </c>
    </row>
    <row r="16" spans="1:6" ht="13.5" customHeight="1" x14ac:dyDescent="0.3">
      <c r="A16" s="29" t="s">
        <v>56</v>
      </c>
      <c r="B16" s="38" t="s">
        <v>54</v>
      </c>
      <c r="C16" s="39"/>
      <c r="D16" s="39"/>
      <c r="E16" s="39"/>
      <c r="F16" s="40"/>
    </row>
    <row r="17" spans="1:6" ht="28.8" x14ac:dyDescent="0.3">
      <c r="A17" s="29">
        <v>1</v>
      </c>
      <c r="B17" s="32" t="s">
        <v>33</v>
      </c>
      <c r="C17" s="32" t="s">
        <v>34</v>
      </c>
      <c r="D17" s="33">
        <v>1</v>
      </c>
      <c r="E17" s="31">
        <v>12439</v>
      </c>
      <c r="F17" s="26">
        <v>12439</v>
      </c>
    </row>
    <row r="18" spans="1:6" ht="26.4" x14ac:dyDescent="0.3">
      <c r="A18" s="36">
        <v>2</v>
      </c>
      <c r="B18" s="35" t="s">
        <v>35</v>
      </c>
      <c r="C18" s="34" t="s">
        <v>36</v>
      </c>
      <c r="D18" s="33">
        <v>1</v>
      </c>
      <c r="E18" s="31">
        <v>727</v>
      </c>
      <c r="F18" s="26">
        <v>727</v>
      </c>
    </row>
    <row r="19" spans="1:6" ht="39.6" x14ac:dyDescent="0.3">
      <c r="A19" s="36">
        <v>3</v>
      </c>
      <c r="B19" s="35" t="s">
        <v>37</v>
      </c>
      <c r="C19" s="34" t="s">
        <v>38</v>
      </c>
      <c r="D19" s="33">
        <v>3</v>
      </c>
      <c r="E19" s="31">
        <v>1220</v>
      </c>
      <c r="F19" s="26">
        <v>3660</v>
      </c>
    </row>
    <row r="20" spans="1:6" ht="52.8" x14ac:dyDescent="0.3">
      <c r="A20" s="36">
        <v>4</v>
      </c>
      <c r="B20" s="35" t="s">
        <v>39</v>
      </c>
      <c r="C20" s="34" t="s">
        <v>40</v>
      </c>
      <c r="D20" s="33">
        <v>1</v>
      </c>
      <c r="E20" s="31">
        <v>901</v>
      </c>
      <c r="F20" s="26">
        <v>901</v>
      </c>
    </row>
    <row r="21" spans="1:6" ht="39.6" x14ac:dyDescent="0.3">
      <c r="A21" s="36">
        <v>5</v>
      </c>
      <c r="B21" s="35" t="s">
        <v>41</v>
      </c>
      <c r="C21" s="34" t="s">
        <v>42</v>
      </c>
      <c r="D21" s="33">
        <v>1</v>
      </c>
      <c r="E21" s="31">
        <v>701</v>
      </c>
      <c r="F21" s="26">
        <v>701</v>
      </c>
    </row>
    <row r="22" spans="1:6" ht="26.4" x14ac:dyDescent="0.3">
      <c r="A22" s="36">
        <v>6</v>
      </c>
      <c r="B22" s="35" t="s">
        <v>43</v>
      </c>
      <c r="C22" s="34" t="s">
        <v>44</v>
      </c>
      <c r="D22" s="33">
        <v>1</v>
      </c>
      <c r="E22" s="31">
        <v>3767</v>
      </c>
      <c r="F22" s="26">
        <v>3767</v>
      </c>
    </row>
    <row r="23" spans="1:6" ht="13.5" customHeight="1" x14ac:dyDescent="0.3">
      <c r="A23" s="29" t="s">
        <v>65</v>
      </c>
      <c r="B23" s="38" t="s">
        <v>57</v>
      </c>
      <c r="C23" s="39"/>
      <c r="D23" s="39"/>
      <c r="E23" s="39"/>
      <c r="F23" s="40"/>
    </row>
    <row r="24" spans="1:6" ht="39.6" x14ac:dyDescent="0.3">
      <c r="A24" s="29">
        <v>1</v>
      </c>
      <c r="B24" s="35" t="s">
        <v>47</v>
      </c>
      <c r="C24" s="34" t="s">
        <v>48</v>
      </c>
      <c r="D24" s="33">
        <v>1</v>
      </c>
      <c r="E24" s="31">
        <v>9541</v>
      </c>
      <c r="F24" s="26">
        <v>9541</v>
      </c>
    </row>
    <row r="25" spans="1:6" ht="26.4" x14ac:dyDescent="0.3">
      <c r="A25" s="36">
        <v>2</v>
      </c>
      <c r="B25" s="35" t="s">
        <v>35</v>
      </c>
      <c r="C25" s="34" t="s">
        <v>36</v>
      </c>
      <c r="D25" s="33">
        <v>1</v>
      </c>
      <c r="E25" s="31">
        <v>727</v>
      </c>
      <c r="F25" s="26">
        <v>727</v>
      </c>
    </row>
    <row r="26" spans="1:6" ht="39.6" x14ac:dyDescent="0.3">
      <c r="A26" s="36">
        <v>3</v>
      </c>
      <c r="B26" s="35" t="s">
        <v>37</v>
      </c>
      <c r="C26" s="34" t="s">
        <v>38</v>
      </c>
      <c r="D26" s="33">
        <v>3</v>
      </c>
      <c r="E26" s="31">
        <v>1220</v>
      </c>
      <c r="F26" s="26">
        <v>3660</v>
      </c>
    </row>
    <row r="27" spans="1:6" ht="52.8" x14ac:dyDescent="0.3">
      <c r="A27" s="36">
        <v>4</v>
      </c>
      <c r="B27" s="35" t="s">
        <v>39</v>
      </c>
      <c r="C27" s="34" t="s">
        <v>40</v>
      </c>
      <c r="D27" s="33">
        <v>1</v>
      </c>
      <c r="E27" s="31">
        <v>901</v>
      </c>
      <c r="F27" s="26">
        <v>901</v>
      </c>
    </row>
    <row r="28" spans="1:6" ht="39.6" x14ac:dyDescent="0.3">
      <c r="A28" s="36">
        <v>5</v>
      </c>
      <c r="B28" s="35" t="s">
        <v>41</v>
      </c>
      <c r="C28" s="34" t="s">
        <v>42</v>
      </c>
      <c r="D28" s="33">
        <v>1</v>
      </c>
      <c r="E28" s="31">
        <v>701</v>
      </c>
      <c r="F28" s="26">
        <v>701</v>
      </c>
    </row>
    <row r="29" spans="1:6" ht="26.4" x14ac:dyDescent="0.3">
      <c r="A29" s="36">
        <v>6</v>
      </c>
      <c r="B29" s="35" t="s">
        <v>43</v>
      </c>
      <c r="C29" s="34" t="s">
        <v>44</v>
      </c>
      <c r="D29" s="33">
        <v>1</v>
      </c>
      <c r="E29" s="31">
        <v>3767</v>
      </c>
      <c r="F29" s="26">
        <v>3767</v>
      </c>
    </row>
    <row r="30" spans="1:6" ht="13.5" customHeight="1" x14ac:dyDescent="0.3">
      <c r="A30" s="29" t="s">
        <v>66</v>
      </c>
      <c r="B30" s="38" t="s">
        <v>58</v>
      </c>
      <c r="C30" s="39"/>
      <c r="D30" s="39"/>
      <c r="E30" s="39"/>
      <c r="F30" s="40"/>
    </row>
    <row r="31" spans="1:6" ht="39.6" x14ac:dyDescent="0.3">
      <c r="A31" s="29">
        <v>1</v>
      </c>
      <c r="B31" s="35" t="s">
        <v>47</v>
      </c>
      <c r="C31" s="34" t="s">
        <v>48</v>
      </c>
      <c r="D31" s="33">
        <v>1</v>
      </c>
      <c r="E31" s="31">
        <v>9541</v>
      </c>
      <c r="F31" s="26">
        <v>9541</v>
      </c>
    </row>
    <row r="32" spans="1:6" ht="26.4" x14ac:dyDescent="0.3">
      <c r="A32" s="36">
        <v>2</v>
      </c>
      <c r="B32" s="35" t="s">
        <v>35</v>
      </c>
      <c r="C32" s="34" t="s">
        <v>36</v>
      </c>
      <c r="D32" s="33">
        <v>1</v>
      </c>
      <c r="E32" s="31">
        <v>727</v>
      </c>
      <c r="F32" s="26">
        <v>727</v>
      </c>
    </row>
    <row r="33" spans="1:6" ht="39.6" x14ac:dyDescent="0.3">
      <c r="A33" s="36">
        <v>3</v>
      </c>
      <c r="B33" s="35" t="s">
        <v>37</v>
      </c>
      <c r="C33" s="34" t="s">
        <v>38</v>
      </c>
      <c r="D33" s="33">
        <v>3</v>
      </c>
      <c r="E33" s="31">
        <v>1220</v>
      </c>
      <c r="F33" s="26">
        <v>3660</v>
      </c>
    </row>
    <row r="34" spans="1:6" ht="52.8" x14ac:dyDescent="0.3">
      <c r="A34" s="36">
        <v>4</v>
      </c>
      <c r="B34" s="35" t="s">
        <v>39</v>
      </c>
      <c r="C34" s="34" t="s">
        <v>40</v>
      </c>
      <c r="D34" s="33">
        <v>1</v>
      </c>
      <c r="E34" s="31">
        <v>901</v>
      </c>
      <c r="F34" s="26">
        <v>901</v>
      </c>
    </row>
    <row r="35" spans="1:6" ht="39.6" x14ac:dyDescent="0.3">
      <c r="A35" s="36">
        <v>5</v>
      </c>
      <c r="B35" s="35" t="s">
        <v>41</v>
      </c>
      <c r="C35" s="34" t="s">
        <v>42</v>
      </c>
      <c r="D35" s="33">
        <v>1</v>
      </c>
      <c r="E35" s="31">
        <v>701</v>
      </c>
      <c r="F35" s="26">
        <v>701</v>
      </c>
    </row>
    <row r="36" spans="1:6" ht="26.4" x14ac:dyDescent="0.3">
      <c r="A36" s="36">
        <v>6</v>
      </c>
      <c r="B36" s="35" t="s">
        <v>43</v>
      </c>
      <c r="C36" s="34" t="s">
        <v>44</v>
      </c>
      <c r="D36" s="33">
        <v>1</v>
      </c>
      <c r="E36" s="31">
        <v>3767</v>
      </c>
      <c r="F36" s="26">
        <v>3767</v>
      </c>
    </row>
    <row r="37" spans="1:6" ht="118.8" x14ac:dyDescent="0.3">
      <c r="A37" s="36">
        <v>7</v>
      </c>
      <c r="B37" s="35" t="s">
        <v>63</v>
      </c>
      <c r="C37" s="34" t="s">
        <v>64</v>
      </c>
      <c r="D37" s="33">
        <v>1</v>
      </c>
      <c r="E37" s="31">
        <v>6707</v>
      </c>
      <c r="F37" s="26">
        <v>6707</v>
      </c>
    </row>
    <row r="38" spans="1:6" ht="92.4" x14ac:dyDescent="0.3">
      <c r="A38" s="36">
        <v>8</v>
      </c>
      <c r="B38" s="37" t="s">
        <v>77</v>
      </c>
      <c r="C38" s="34" t="s">
        <v>78</v>
      </c>
      <c r="D38" s="33">
        <v>1</v>
      </c>
      <c r="E38" s="31">
        <v>1831</v>
      </c>
      <c r="F38" s="26">
        <v>1831</v>
      </c>
    </row>
    <row r="39" spans="1:6" ht="13.5" customHeight="1" x14ac:dyDescent="0.3">
      <c r="A39" s="29" t="s">
        <v>67</v>
      </c>
      <c r="B39" s="38" t="s">
        <v>59</v>
      </c>
      <c r="C39" s="39"/>
      <c r="D39" s="39"/>
      <c r="E39" s="39"/>
      <c r="F39" s="40"/>
    </row>
    <row r="40" spans="1:6" ht="28.8" x14ac:dyDescent="0.3">
      <c r="A40" s="29">
        <v>1</v>
      </c>
      <c r="B40" s="32" t="s">
        <v>33</v>
      </c>
      <c r="C40" s="32" t="s">
        <v>34</v>
      </c>
      <c r="D40" s="33">
        <v>1</v>
      </c>
      <c r="E40" s="31">
        <v>12439</v>
      </c>
      <c r="F40" s="26">
        <v>12439</v>
      </c>
    </row>
    <row r="41" spans="1:6" ht="26.4" x14ac:dyDescent="0.3">
      <c r="A41" s="36">
        <v>2</v>
      </c>
      <c r="B41" s="35" t="s">
        <v>35</v>
      </c>
      <c r="C41" s="34" t="s">
        <v>36</v>
      </c>
      <c r="D41" s="33">
        <v>1</v>
      </c>
      <c r="E41" s="31">
        <v>727</v>
      </c>
      <c r="F41" s="26">
        <v>727</v>
      </c>
    </row>
    <row r="42" spans="1:6" ht="39.6" x14ac:dyDescent="0.3">
      <c r="A42" s="29">
        <v>3</v>
      </c>
      <c r="B42" s="35" t="s">
        <v>37</v>
      </c>
      <c r="C42" s="34" t="s">
        <v>38</v>
      </c>
      <c r="D42" s="33">
        <v>3</v>
      </c>
      <c r="E42" s="31">
        <v>1220</v>
      </c>
      <c r="F42" s="26">
        <v>3660</v>
      </c>
    </row>
    <row r="43" spans="1:6" ht="52.8" x14ac:dyDescent="0.3">
      <c r="A43" s="36">
        <v>4</v>
      </c>
      <c r="B43" s="35" t="s">
        <v>39</v>
      </c>
      <c r="C43" s="34" t="s">
        <v>40</v>
      </c>
      <c r="D43" s="33">
        <v>1</v>
      </c>
      <c r="E43" s="31">
        <v>901</v>
      </c>
      <c r="F43" s="26">
        <v>901</v>
      </c>
    </row>
    <row r="44" spans="1:6" ht="39.6" x14ac:dyDescent="0.3">
      <c r="A44" s="29">
        <v>5</v>
      </c>
      <c r="B44" s="35" t="s">
        <v>41</v>
      </c>
      <c r="C44" s="34" t="s">
        <v>42</v>
      </c>
      <c r="D44" s="33">
        <v>1</v>
      </c>
      <c r="E44" s="31">
        <v>701</v>
      </c>
      <c r="F44" s="26">
        <v>701</v>
      </c>
    </row>
    <row r="45" spans="1:6" ht="26.4" x14ac:dyDescent="0.3">
      <c r="A45" s="36">
        <v>6</v>
      </c>
      <c r="B45" s="35" t="s">
        <v>43</v>
      </c>
      <c r="C45" s="34" t="s">
        <v>44</v>
      </c>
      <c r="D45" s="33">
        <v>1</v>
      </c>
      <c r="E45" s="31">
        <v>3767</v>
      </c>
      <c r="F45" s="26">
        <v>3767</v>
      </c>
    </row>
    <row r="46" spans="1:6" ht="26.4" x14ac:dyDescent="0.3">
      <c r="A46" s="29">
        <v>7</v>
      </c>
      <c r="B46" s="35" t="s">
        <v>45</v>
      </c>
      <c r="C46" s="34" t="s">
        <v>46</v>
      </c>
      <c r="D46" s="33">
        <v>1</v>
      </c>
      <c r="E46" s="31">
        <v>7618</v>
      </c>
      <c r="F46" s="26">
        <v>7618</v>
      </c>
    </row>
    <row r="47" spans="1:6" ht="13.5" customHeight="1" x14ac:dyDescent="0.3">
      <c r="A47" s="29" t="s">
        <v>68</v>
      </c>
      <c r="B47" s="38" t="s">
        <v>60</v>
      </c>
      <c r="C47" s="39"/>
      <c r="D47" s="39"/>
      <c r="E47" s="39"/>
      <c r="F47" s="40"/>
    </row>
    <row r="48" spans="1:6" ht="28.8" x14ac:dyDescent="0.3">
      <c r="A48" s="29">
        <v>1</v>
      </c>
      <c r="B48" s="32" t="s">
        <v>33</v>
      </c>
      <c r="C48" s="32" t="s">
        <v>34</v>
      </c>
      <c r="D48" s="33">
        <v>1</v>
      </c>
      <c r="E48" s="31">
        <v>12439</v>
      </c>
      <c r="F48" s="26">
        <v>12439</v>
      </c>
    </row>
    <row r="49" spans="1:6" ht="26.4" x14ac:dyDescent="0.3">
      <c r="A49" s="36">
        <v>2</v>
      </c>
      <c r="B49" s="35" t="s">
        <v>35</v>
      </c>
      <c r="C49" s="34" t="s">
        <v>36</v>
      </c>
      <c r="D49" s="33">
        <v>1</v>
      </c>
      <c r="E49" s="31">
        <v>727</v>
      </c>
      <c r="F49" s="26">
        <v>727</v>
      </c>
    </row>
    <row r="50" spans="1:6" ht="39.6" x14ac:dyDescent="0.3">
      <c r="A50" s="36">
        <v>3</v>
      </c>
      <c r="B50" s="35" t="s">
        <v>37</v>
      </c>
      <c r="C50" s="34" t="s">
        <v>38</v>
      </c>
      <c r="D50" s="33">
        <v>1</v>
      </c>
      <c r="E50" s="31">
        <v>1220</v>
      </c>
      <c r="F50" s="26">
        <v>1220</v>
      </c>
    </row>
    <row r="51" spans="1:6" ht="39.6" x14ac:dyDescent="0.3">
      <c r="A51" s="29">
        <v>4</v>
      </c>
      <c r="B51" s="35" t="s">
        <v>41</v>
      </c>
      <c r="C51" s="34" t="s">
        <v>42</v>
      </c>
      <c r="D51" s="33">
        <v>1</v>
      </c>
      <c r="E51" s="31">
        <v>701</v>
      </c>
      <c r="F51" s="26">
        <v>701</v>
      </c>
    </row>
    <row r="52" spans="1:6" ht="26.4" x14ac:dyDescent="0.3">
      <c r="A52" s="36">
        <v>5</v>
      </c>
      <c r="B52" s="35" t="s">
        <v>43</v>
      </c>
      <c r="C52" s="34" t="s">
        <v>44</v>
      </c>
      <c r="D52" s="33">
        <v>1</v>
      </c>
      <c r="E52" s="31">
        <v>3767</v>
      </c>
      <c r="F52" s="26">
        <v>3767</v>
      </c>
    </row>
    <row r="53" spans="1:6" ht="13.5" customHeight="1" x14ac:dyDescent="0.3">
      <c r="A53" s="29" t="s">
        <v>70</v>
      </c>
      <c r="B53" s="38" t="s">
        <v>61</v>
      </c>
      <c r="C53" s="39"/>
      <c r="D53" s="39"/>
      <c r="E53" s="39"/>
      <c r="F53" s="40"/>
    </row>
    <row r="54" spans="1:6" ht="39.6" x14ac:dyDescent="0.3">
      <c r="A54" s="29">
        <v>1</v>
      </c>
      <c r="B54" s="35" t="s">
        <v>47</v>
      </c>
      <c r="C54" s="34" t="s">
        <v>48</v>
      </c>
      <c r="D54" s="33">
        <v>1</v>
      </c>
      <c r="E54" s="31">
        <v>9541</v>
      </c>
      <c r="F54" s="26">
        <v>9541</v>
      </c>
    </row>
    <row r="55" spans="1:6" ht="26.4" x14ac:dyDescent="0.3">
      <c r="A55" s="36">
        <v>2</v>
      </c>
      <c r="B55" s="35" t="s">
        <v>35</v>
      </c>
      <c r="C55" s="34" t="s">
        <v>36</v>
      </c>
      <c r="D55" s="33">
        <v>1</v>
      </c>
      <c r="E55" s="31">
        <v>727</v>
      </c>
      <c r="F55" s="26">
        <v>727</v>
      </c>
    </row>
    <row r="56" spans="1:6" ht="39.6" x14ac:dyDescent="0.3">
      <c r="A56" s="36">
        <v>3</v>
      </c>
      <c r="B56" s="35" t="s">
        <v>37</v>
      </c>
      <c r="C56" s="34" t="s">
        <v>38</v>
      </c>
      <c r="D56" s="33">
        <v>3</v>
      </c>
      <c r="E56" s="31">
        <v>1220</v>
      </c>
      <c r="F56" s="26">
        <v>3660</v>
      </c>
    </row>
    <row r="57" spans="1:6" ht="26.4" x14ac:dyDescent="0.3">
      <c r="A57" s="29">
        <v>4</v>
      </c>
      <c r="B57" s="35" t="s">
        <v>43</v>
      </c>
      <c r="C57" s="34" t="s">
        <v>44</v>
      </c>
      <c r="D57" s="33">
        <v>1</v>
      </c>
      <c r="E57" s="31">
        <v>3767</v>
      </c>
      <c r="F57" s="26">
        <v>3767</v>
      </c>
    </row>
    <row r="58" spans="1:6" ht="13.5" customHeight="1" x14ac:dyDescent="0.3">
      <c r="A58" s="29" t="s">
        <v>71</v>
      </c>
      <c r="B58" s="38" t="s">
        <v>62</v>
      </c>
      <c r="C58" s="39"/>
      <c r="D58" s="39"/>
      <c r="E58" s="39"/>
      <c r="F58" s="40"/>
    </row>
    <row r="59" spans="1:6" ht="28.8" x14ac:dyDescent="0.3">
      <c r="A59" s="29">
        <v>1</v>
      </c>
      <c r="B59" s="32" t="s">
        <v>33</v>
      </c>
      <c r="C59" s="32" t="s">
        <v>34</v>
      </c>
      <c r="D59" s="33">
        <v>1</v>
      </c>
      <c r="E59" s="31">
        <v>12439</v>
      </c>
      <c r="F59" s="26">
        <v>12439</v>
      </c>
    </row>
    <row r="60" spans="1:6" ht="26.4" x14ac:dyDescent="0.3">
      <c r="A60" s="36">
        <v>2</v>
      </c>
      <c r="B60" s="35" t="s">
        <v>35</v>
      </c>
      <c r="C60" s="34" t="s">
        <v>36</v>
      </c>
      <c r="D60" s="33">
        <v>1</v>
      </c>
      <c r="E60" s="31">
        <v>727</v>
      </c>
      <c r="F60" s="26">
        <v>727</v>
      </c>
    </row>
    <row r="61" spans="1:6" ht="39.6" x14ac:dyDescent="0.3">
      <c r="A61" s="36">
        <v>3</v>
      </c>
      <c r="B61" s="35" t="s">
        <v>37</v>
      </c>
      <c r="C61" s="34" t="s">
        <v>38</v>
      </c>
      <c r="D61" s="33">
        <v>1</v>
      </c>
      <c r="E61" s="31">
        <v>1220</v>
      </c>
      <c r="F61" s="26">
        <v>1220</v>
      </c>
    </row>
    <row r="62" spans="1:6" ht="39.6" x14ac:dyDescent="0.3">
      <c r="A62" s="29">
        <v>4</v>
      </c>
      <c r="B62" s="35" t="s">
        <v>41</v>
      </c>
      <c r="C62" s="34" t="s">
        <v>42</v>
      </c>
      <c r="D62" s="33">
        <v>1</v>
      </c>
      <c r="E62" s="31">
        <v>701</v>
      </c>
      <c r="F62" s="26">
        <v>701</v>
      </c>
    </row>
    <row r="63" spans="1:6" ht="26.4" x14ac:dyDescent="0.3">
      <c r="A63" s="36">
        <v>5</v>
      </c>
      <c r="B63" s="35" t="s">
        <v>43</v>
      </c>
      <c r="C63" s="34" t="s">
        <v>44</v>
      </c>
      <c r="D63" s="33">
        <v>1</v>
      </c>
      <c r="E63" s="31">
        <v>3767</v>
      </c>
      <c r="F63" s="26">
        <v>3767</v>
      </c>
    </row>
    <row r="64" spans="1:6" ht="24.6" customHeight="1" x14ac:dyDescent="0.3">
      <c r="A64" s="36">
        <v>6</v>
      </c>
      <c r="B64" s="35" t="s">
        <v>45</v>
      </c>
      <c r="C64" s="34" t="s">
        <v>46</v>
      </c>
      <c r="D64" s="33">
        <v>1</v>
      </c>
      <c r="E64" s="31">
        <v>7618</v>
      </c>
      <c r="F64" s="26">
        <v>7618</v>
      </c>
    </row>
    <row r="65" spans="1:9" ht="24.6" customHeight="1" x14ac:dyDescent="0.3">
      <c r="A65" s="51" t="s">
        <v>71</v>
      </c>
      <c r="B65" s="47" t="s">
        <v>88</v>
      </c>
      <c r="C65" s="48"/>
      <c r="D65" s="48"/>
      <c r="E65" s="48"/>
      <c r="F65" s="49"/>
      <c r="G65" s="50"/>
      <c r="H65" s="50"/>
      <c r="I65" s="50"/>
    </row>
    <row r="66" spans="1:9" ht="39.6" x14ac:dyDescent="0.3">
      <c r="A66" s="29">
        <v>1</v>
      </c>
      <c r="B66" s="43" t="s">
        <v>84</v>
      </c>
      <c r="C66" s="42" t="s">
        <v>85</v>
      </c>
      <c r="D66" s="44">
        <v>1</v>
      </c>
      <c r="E66" s="45">
        <v>3733</v>
      </c>
      <c r="F66" s="46">
        <v>3733</v>
      </c>
    </row>
    <row r="67" spans="1:9" ht="13.5" customHeight="1" x14ac:dyDescent="0.3">
      <c r="A67" s="29" t="s">
        <v>72</v>
      </c>
      <c r="B67" s="38" t="s">
        <v>69</v>
      </c>
      <c r="C67" s="39"/>
      <c r="D67" s="39"/>
      <c r="E67" s="39"/>
      <c r="F67" s="40"/>
    </row>
    <row r="68" spans="1:9" ht="92.4" x14ac:dyDescent="0.3">
      <c r="A68" s="36">
        <v>1</v>
      </c>
      <c r="B68" s="35" t="s">
        <v>49</v>
      </c>
      <c r="C68" s="34" t="s">
        <v>50</v>
      </c>
      <c r="D68" s="33">
        <v>5</v>
      </c>
      <c r="E68" s="31">
        <v>458</v>
      </c>
      <c r="F68" s="26">
        <v>2290</v>
      </c>
    </row>
    <row r="69" spans="1:9" ht="92.4" x14ac:dyDescent="0.3">
      <c r="A69" s="36">
        <v>2</v>
      </c>
      <c r="B69" s="35" t="s">
        <v>51</v>
      </c>
      <c r="C69" s="34" t="s">
        <v>52</v>
      </c>
      <c r="D69" s="33">
        <v>2</v>
      </c>
      <c r="E69" s="31">
        <v>1995</v>
      </c>
      <c r="F69" s="26">
        <v>3990</v>
      </c>
    </row>
    <row r="70" spans="1:9" ht="26.4" x14ac:dyDescent="0.3">
      <c r="A70" s="29">
        <v>3</v>
      </c>
      <c r="B70" s="43" t="s">
        <v>86</v>
      </c>
      <c r="C70" s="42" t="s">
        <v>87</v>
      </c>
      <c r="D70" s="44">
        <v>9</v>
      </c>
      <c r="E70" s="45">
        <v>2458</v>
      </c>
      <c r="F70" s="46">
        <v>22122</v>
      </c>
    </row>
    <row r="71" spans="1:9" ht="13.5" customHeight="1" x14ac:dyDescent="0.3">
      <c r="A71" s="29" t="s">
        <v>72</v>
      </c>
      <c r="B71" s="38" t="s">
        <v>73</v>
      </c>
      <c r="C71" s="39"/>
      <c r="D71" s="39"/>
      <c r="E71" s="39"/>
      <c r="F71" s="40"/>
    </row>
    <row r="72" spans="1:9" ht="26.4" x14ac:dyDescent="0.3">
      <c r="A72" s="36">
        <v>1</v>
      </c>
      <c r="B72" s="35" t="s">
        <v>74</v>
      </c>
      <c r="C72" s="34" t="s">
        <v>75</v>
      </c>
      <c r="D72" s="33">
        <v>1</v>
      </c>
      <c r="E72" s="31">
        <v>21951</v>
      </c>
      <c r="F72" s="26">
        <v>21951</v>
      </c>
    </row>
    <row r="73" spans="1:9" ht="13.8" x14ac:dyDescent="0.3">
      <c r="A73" s="29"/>
      <c r="B73" s="29"/>
      <c r="C73" s="85" t="s">
        <v>30</v>
      </c>
      <c r="D73" s="86"/>
      <c r="E73" s="87"/>
      <c r="F73" s="19">
        <f>SUM(F11:F72)</f>
        <v>242468</v>
      </c>
    </row>
    <row r="74" spans="1:9" ht="13.8" x14ac:dyDescent="0.3">
      <c r="A74" s="29"/>
      <c r="B74" s="29"/>
      <c r="C74" s="85" t="s">
        <v>31</v>
      </c>
      <c r="D74" s="86"/>
      <c r="E74" s="87"/>
      <c r="F74" s="19">
        <f>F73*0.15</f>
        <v>36370.199999999997</v>
      </c>
    </row>
    <row r="75" spans="1:9" ht="13.8" x14ac:dyDescent="0.3">
      <c r="A75" s="29"/>
      <c r="B75" s="29"/>
      <c r="C75" s="85" t="s">
        <v>32</v>
      </c>
      <c r="D75" s="86"/>
      <c r="E75" s="87"/>
      <c r="F75" s="19">
        <f>F73+F74</f>
        <v>278838.2</v>
      </c>
      <c r="I75" s="25"/>
    </row>
  </sheetData>
  <autoFilter ref="A10:F75" xr:uid="{166AC387-5042-44CD-81A4-75119DA9A582}">
    <filterColumn colId="3">
      <filters blank="1">
        <filter val="1"/>
        <filter val="2"/>
        <filter val="3"/>
        <filter val="5"/>
        <filter val="9"/>
      </filters>
    </filterColumn>
  </autoFilter>
  <mergeCells count="10">
    <mergeCell ref="C1:D1"/>
    <mergeCell ref="C2:D2"/>
    <mergeCell ref="C3:D3"/>
    <mergeCell ref="C74:E74"/>
    <mergeCell ref="C75:E75"/>
    <mergeCell ref="C73:E73"/>
    <mergeCell ref="B11:F11"/>
    <mergeCell ref="C4:D4"/>
    <mergeCell ref="C5:D5"/>
    <mergeCell ref="C6:D6"/>
  </mergeCells>
  <printOptions horizontalCentered="1" verticalCentered="1"/>
  <pageMargins left="0.25" right="0" top="0.75" bottom="0.75" header="0.3" footer="0.3"/>
  <pageSetup paperSize="9" scale="62" fitToHeight="0" orientation="landscape" r:id="rId1"/>
  <headerFooter alignWithMargins="0">
    <oddFooter>&amp;L&amp;P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C240-8A14-4208-B423-FA03706B1520}">
  <sheetPr>
    <pageSetUpPr fitToPage="1"/>
  </sheetPr>
  <dimension ref="A1:S25"/>
  <sheetViews>
    <sheetView rightToLeft="1" tabSelected="1" zoomScaleNormal="100" zoomScaleSheetLayoutView="70" zoomScalePageLayoutView="50" workbookViewId="0">
      <pane ySplit="9" topLeftCell="A10" activePane="bottomLeft" state="frozen"/>
      <selection activeCell="F1" sqref="F1"/>
      <selection pane="bottomLeft" activeCell="A10" sqref="A10:F21"/>
    </sheetView>
  </sheetViews>
  <sheetFormatPr defaultRowHeight="13.2" outlineLevelRow="1" x14ac:dyDescent="0.3"/>
  <cols>
    <col min="1" max="1" width="7.33203125" style="1" bestFit="1" customWidth="1"/>
    <col min="2" max="2" width="16.88671875" style="7" customWidth="1"/>
    <col min="3" max="3" width="40.109375" style="3" customWidth="1"/>
    <col min="4" max="4" width="7.33203125" style="28" bestFit="1" customWidth="1"/>
    <col min="5" max="5" width="16" style="3" customWidth="1"/>
    <col min="6" max="6" width="20.88671875" style="3" bestFit="1" customWidth="1"/>
    <col min="7" max="7" width="5.88671875" style="7" customWidth="1"/>
    <col min="8" max="8" width="7" style="7" customWidth="1"/>
    <col min="9" max="9" width="9.6640625" style="7" customWidth="1"/>
    <col min="10" max="10" width="16.33203125" style="7" customWidth="1"/>
    <col min="11" max="11" width="14.109375" style="7" customWidth="1"/>
    <col min="12" max="12" width="16.33203125" style="7" customWidth="1"/>
    <col min="13" max="13" width="7.33203125" style="7" customWidth="1"/>
    <col min="14" max="14" width="13.5546875" style="20" customWidth="1"/>
    <col min="15" max="15" width="14.33203125" style="20" customWidth="1"/>
    <col min="16" max="16" width="11.5546875" style="20" customWidth="1"/>
    <col min="17" max="17" width="6.5546875" style="7" customWidth="1"/>
    <col min="18" max="18" width="8.88671875" style="7"/>
    <col min="19" max="19" width="12" style="7" bestFit="1" customWidth="1"/>
    <col min="20" max="213" width="8.88671875" style="7"/>
    <col min="214" max="214" width="4.44140625" style="7" customWidth="1"/>
    <col min="215" max="215" width="13.6640625" style="7" customWidth="1"/>
    <col min="216" max="216" width="42.5546875" style="7" customWidth="1"/>
    <col min="217" max="217" width="5.88671875" style="7" bestFit="1" customWidth="1"/>
    <col min="218" max="218" width="16" style="7" bestFit="1" customWidth="1"/>
    <col min="219" max="219" width="17.109375" style="7" bestFit="1" customWidth="1"/>
    <col min="220" max="220" width="2.6640625" style="7" customWidth="1"/>
    <col min="221" max="221" width="3.109375" style="7" customWidth="1"/>
    <col min="222" max="222" width="9.6640625" style="7" customWidth="1"/>
    <col min="223" max="223" width="16.33203125" style="7" bestFit="1" customWidth="1"/>
    <col min="224" max="224" width="14.109375" style="7" customWidth="1"/>
    <col min="225" max="225" width="15.33203125" style="7" bestFit="1" customWidth="1"/>
    <col min="226" max="226" width="10.44140625" style="7" bestFit="1" customWidth="1"/>
    <col min="227" max="227" width="58" style="7" customWidth="1"/>
    <col min="228" max="469" width="8.88671875" style="7"/>
    <col min="470" max="470" width="4.44140625" style="7" customWidth="1"/>
    <col min="471" max="471" width="13.6640625" style="7" customWidth="1"/>
    <col min="472" max="472" width="42.5546875" style="7" customWidth="1"/>
    <col min="473" max="473" width="5.88671875" style="7" bestFit="1" customWidth="1"/>
    <col min="474" max="474" width="16" style="7" bestFit="1" customWidth="1"/>
    <col min="475" max="475" width="17.109375" style="7" bestFit="1" customWidth="1"/>
    <col min="476" max="476" width="2.6640625" style="7" customWidth="1"/>
    <col min="477" max="477" width="3.109375" style="7" customWidth="1"/>
    <col min="478" max="478" width="9.6640625" style="7" customWidth="1"/>
    <col min="479" max="479" width="16.33203125" style="7" bestFit="1" customWidth="1"/>
    <col min="480" max="480" width="14.109375" style="7" customWidth="1"/>
    <col min="481" max="481" width="15.33203125" style="7" bestFit="1" customWidth="1"/>
    <col min="482" max="482" width="10.44140625" style="7" bestFit="1" customWidth="1"/>
    <col min="483" max="483" width="58" style="7" customWidth="1"/>
    <col min="484" max="725" width="8.88671875" style="7"/>
    <col min="726" max="726" width="4.44140625" style="7" customWidth="1"/>
    <col min="727" max="727" width="13.6640625" style="7" customWidth="1"/>
    <col min="728" max="728" width="42.5546875" style="7" customWidth="1"/>
    <col min="729" max="729" width="5.88671875" style="7" bestFit="1" customWidth="1"/>
    <col min="730" max="730" width="16" style="7" bestFit="1" customWidth="1"/>
    <col min="731" max="731" width="17.109375" style="7" bestFit="1" customWidth="1"/>
    <col min="732" max="732" width="2.6640625" style="7" customWidth="1"/>
    <col min="733" max="733" width="3.109375" style="7" customWidth="1"/>
    <col min="734" max="734" width="9.6640625" style="7" customWidth="1"/>
    <col min="735" max="735" width="16.33203125" style="7" bestFit="1" customWidth="1"/>
    <col min="736" max="736" width="14.109375" style="7" customWidth="1"/>
    <col min="737" max="737" width="15.33203125" style="7" bestFit="1" customWidth="1"/>
    <col min="738" max="738" width="10.44140625" style="7" bestFit="1" customWidth="1"/>
    <col min="739" max="739" width="58" style="7" customWidth="1"/>
    <col min="740" max="981" width="8.88671875" style="7"/>
    <col min="982" max="982" width="4.44140625" style="7" customWidth="1"/>
    <col min="983" max="983" width="13.6640625" style="7" customWidth="1"/>
    <col min="984" max="984" width="42.5546875" style="7" customWidth="1"/>
    <col min="985" max="985" width="5.88671875" style="7" bestFit="1" customWidth="1"/>
    <col min="986" max="986" width="16" style="7" bestFit="1" customWidth="1"/>
    <col min="987" max="987" width="17.109375" style="7" bestFit="1" customWidth="1"/>
    <col min="988" max="988" width="2.6640625" style="7" customWidth="1"/>
    <col min="989" max="989" width="3.109375" style="7" customWidth="1"/>
    <col min="990" max="990" width="9.6640625" style="7" customWidth="1"/>
    <col min="991" max="991" width="16.33203125" style="7" bestFit="1" customWidth="1"/>
    <col min="992" max="992" width="14.109375" style="7" customWidth="1"/>
    <col min="993" max="993" width="15.33203125" style="7" bestFit="1" customWidth="1"/>
    <col min="994" max="994" width="10.44140625" style="7" bestFit="1" customWidth="1"/>
    <col min="995" max="995" width="58" style="7" customWidth="1"/>
    <col min="996" max="1237" width="8.88671875" style="7"/>
    <col min="1238" max="1238" width="4.44140625" style="7" customWidth="1"/>
    <col min="1239" max="1239" width="13.6640625" style="7" customWidth="1"/>
    <col min="1240" max="1240" width="42.5546875" style="7" customWidth="1"/>
    <col min="1241" max="1241" width="5.88671875" style="7" bestFit="1" customWidth="1"/>
    <col min="1242" max="1242" width="16" style="7" bestFit="1" customWidth="1"/>
    <col min="1243" max="1243" width="17.109375" style="7" bestFit="1" customWidth="1"/>
    <col min="1244" max="1244" width="2.6640625" style="7" customWidth="1"/>
    <col min="1245" max="1245" width="3.109375" style="7" customWidth="1"/>
    <col min="1246" max="1246" width="9.6640625" style="7" customWidth="1"/>
    <col min="1247" max="1247" width="16.33203125" style="7" bestFit="1" customWidth="1"/>
    <col min="1248" max="1248" width="14.109375" style="7" customWidth="1"/>
    <col min="1249" max="1249" width="15.33203125" style="7" bestFit="1" customWidth="1"/>
    <col min="1250" max="1250" width="10.44140625" style="7" bestFit="1" customWidth="1"/>
    <col min="1251" max="1251" width="58" style="7" customWidth="1"/>
    <col min="1252" max="1493" width="8.88671875" style="7"/>
    <col min="1494" max="1494" width="4.44140625" style="7" customWidth="1"/>
    <col min="1495" max="1495" width="13.6640625" style="7" customWidth="1"/>
    <col min="1496" max="1496" width="42.5546875" style="7" customWidth="1"/>
    <col min="1497" max="1497" width="5.88671875" style="7" bestFit="1" customWidth="1"/>
    <col min="1498" max="1498" width="16" style="7" bestFit="1" customWidth="1"/>
    <col min="1499" max="1499" width="17.109375" style="7" bestFit="1" customWidth="1"/>
    <col min="1500" max="1500" width="2.6640625" style="7" customWidth="1"/>
    <col min="1501" max="1501" width="3.109375" style="7" customWidth="1"/>
    <col min="1502" max="1502" width="9.6640625" style="7" customWidth="1"/>
    <col min="1503" max="1503" width="16.33203125" style="7" bestFit="1" customWidth="1"/>
    <col min="1504" max="1504" width="14.109375" style="7" customWidth="1"/>
    <col min="1505" max="1505" width="15.33203125" style="7" bestFit="1" customWidth="1"/>
    <col min="1506" max="1506" width="10.44140625" style="7" bestFit="1" customWidth="1"/>
    <col min="1507" max="1507" width="58" style="7" customWidth="1"/>
    <col min="1508" max="1749" width="8.88671875" style="7"/>
    <col min="1750" max="1750" width="4.44140625" style="7" customWidth="1"/>
    <col min="1751" max="1751" width="13.6640625" style="7" customWidth="1"/>
    <col min="1752" max="1752" width="42.5546875" style="7" customWidth="1"/>
    <col min="1753" max="1753" width="5.88671875" style="7" bestFit="1" customWidth="1"/>
    <col min="1754" max="1754" width="16" style="7" bestFit="1" customWidth="1"/>
    <col min="1755" max="1755" width="17.109375" style="7" bestFit="1" customWidth="1"/>
    <col min="1756" max="1756" width="2.6640625" style="7" customWidth="1"/>
    <col min="1757" max="1757" width="3.109375" style="7" customWidth="1"/>
    <col min="1758" max="1758" width="9.6640625" style="7" customWidth="1"/>
    <col min="1759" max="1759" width="16.33203125" style="7" bestFit="1" customWidth="1"/>
    <col min="1760" max="1760" width="14.109375" style="7" customWidth="1"/>
    <col min="1761" max="1761" width="15.33203125" style="7" bestFit="1" customWidth="1"/>
    <col min="1762" max="1762" width="10.44140625" style="7" bestFit="1" customWidth="1"/>
    <col min="1763" max="1763" width="58" style="7" customWidth="1"/>
    <col min="1764" max="2005" width="8.88671875" style="7"/>
    <col min="2006" max="2006" width="4.44140625" style="7" customWidth="1"/>
    <col min="2007" max="2007" width="13.6640625" style="7" customWidth="1"/>
    <col min="2008" max="2008" width="42.5546875" style="7" customWidth="1"/>
    <col min="2009" max="2009" width="5.88671875" style="7" bestFit="1" customWidth="1"/>
    <col min="2010" max="2010" width="16" style="7" bestFit="1" customWidth="1"/>
    <col min="2011" max="2011" width="17.109375" style="7" bestFit="1" customWidth="1"/>
    <col min="2012" max="2012" width="2.6640625" style="7" customWidth="1"/>
    <col min="2013" max="2013" width="3.109375" style="7" customWidth="1"/>
    <col min="2014" max="2014" width="9.6640625" style="7" customWidth="1"/>
    <col min="2015" max="2015" width="16.33203125" style="7" bestFit="1" customWidth="1"/>
    <col min="2016" max="2016" width="14.109375" style="7" customWidth="1"/>
    <col min="2017" max="2017" width="15.33203125" style="7" bestFit="1" customWidth="1"/>
    <col min="2018" max="2018" width="10.44140625" style="7" bestFit="1" customWidth="1"/>
    <col min="2019" max="2019" width="58" style="7" customWidth="1"/>
    <col min="2020" max="2261" width="8.88671875" style="7"/>
    <col min="2262" max="2262" width="4.44140625" style="7" customWidth="1"/>
    <col min="2263" max="2263" width="13.6640625" style="7" customWidth="1"/>
    <col min="2264" max="2264" width="42.5546875" style="7" customWidth="1"/>
    <col min="2265" max="2265" width="5.88671875" style="7" bestFit="1" customWidth="1"/>
    <col min="2266" max="2266" width="16" style="7" bestFit="1" customWidth="1"/>
    <col min="2267" max="2267" width="17.109375" style="7" bestFit="1" customWidth="1"/>
    <col min="2268" max="2268" width="2.6640625" style="7" customWidth="1"/>
    <col min="2269" max="2269" width="3.109375" style="7" customWidth="1"/>
    <col min="2270" max="2270" width="9.6640625" style="7" customWidth="1"/>
    <col min="2271" max="2271" width="16.33203125" style="7" bestFit="1" customWidth="1"/>
    <col min="2272" max="2272" width="14.109375" style="7" customWidth="1"/>
    <col min="2273" max="2273" width="15.33203125" style="7" bestFit="1" customWidth="1"/>
    <col min="2274" max="2274" width="10.44140625" style="7" bestFit="1" customWidth="1"/>
    <col min="2275" max="2275" width="58" style="7" customWidth="1"/>
    <col min="2276" max="2517" width="8.88671875" style="7"/>
    <col min="2518" max="2518" width="4.44140625" style="7" customWidth="1"/>
    <col min="2519" max="2519" width="13.6640625" style="7" customWidth="1"/>
    <col min="2520" max="2520" width="42.5546875" style="7" customWidth="1"/>
    <col min="2521" max="2521" width="5.88671875" style="7" bestFit="1" customWidth="1"/>
    <col min="2522" max="2522" width="16" style="7" bestFit="1" customWidth="1"/>
    <col min="2523" max="2523" width="17.109375" style="7" bestFit="1" customWidth="1"/>
    <col min="2524" max="2524" width="2.6640625" style="7" customWidth="1"/>
    <col min="2525" max="2525" width="3.109375" style="7" customWidth="1"/>
    <col min="2526" max="2526" width="9.6640625" style="7" customWidth="1"/>
    <col min="2527" max="2527" width="16.33203125" style="7" bestFit="1" customWidth="1"/>
    <col min="2528" max="2528" width="14.109375" style="7" customWidth="1"/>
    <col min="2529" max="2529" width="15.33203125" style="7" bestFit="1" customWidth="1"/>
    <col min="2530" max="2530" width="10.44140625" style="7" bestFit="1" customWidth="1"/>
    <col min="2531" max="2531" width="58" style="7" customWidth="1"/>
    <col min="2532" max="2773" width="8.88671875" style="7"/>
    <col min="2774" max="2774" width="4.44140625" style="7" customWidth="1"/>
    <col min="2775" max="2775" width="13.6640625" style="7" customWidth="1"/>
    <col min="2776" max="2776" width="42.5546875" style="7" customWidth="1"/>
    <col min="2777" max="2777" width="5.88671875" style="7" bestFit="1" customWidth="1"/>
    <col min="2778" max="2778" width="16" style="7" bestFit="1" customWidth="1"/>
    <col min="2779" max="2779" width="17.109375" style="7" bestFit="1" customWidth="1"/>
    <col min="2780" max="2780" width="2.6640625" style="7" customWidth="1"/>
    <col min="2781" max="2781" width="3.109375" style="7" customWidth="1"/>
    <col min="2782" max="2782" width="9.6640625" style="7" customWidth="1"/>
    <col min="2783" max="2783" width="16.33203125" style="7" bestFit="1" customWidth="1"/>
    <col min="2784" max="2784" width="14.109375" style="7" customWidth="1"/>
    <col min="2785" max="2785" width="15.33203125" style="7" bestFit="1" customWidth="1"/>
    <col min="2786" max="2786" width="10.44140625" style="7" bestFit="1" customWidth="1"/>
    <col min="2787" max="2787" width="58" style="7" customWidth="1"/>
    <col min="2788" max="3029" width="8.88671875" style="7"/>
    <col min="3030" max="3030" width="4.44140625" style="7" customWidth="1"/>
    <col min="3031" max="3031" width="13.6640625" style="7" customWidth="1"/>
    <col min="3032" max="3032" width="42.5546875" style="7" customWidth="1"/>
    <col min="3033" max="3033" width="5.88671875" style="7" bestFit="1" customWidth="1"/>
    <col min="3034" max="3034" width="16" style="7" bestFit="1" customWidth="1"/>
    <col min="3035" max="3035" width="17.109375" style="7" bestFit="1" customWidth="1"/>
    <col min="3036" max="3036" width="2.6640625" style="7" customWidth="1"/>
    <col min="3037" max="3037" width="3.109375" style="7" customWidth="1"/>
    <col min="3038" max="3038" width="9.6640625" style="7" customWidth="1"/>
    <col min="3039" max="3039" width="16.33203125" style="7" bestFit="1" customWidth="1"/>
    <col min="3040" max="3040" width="14.109375" style="7" customWidth="1"/>
    <col min="3041" max="3041" width="15.33203125" style="7" bestFit="1" customWidth="1"/>
    <col min="3042" max="3042" width="10.44140625" style="7" bestFit="1" customWidth="1"/>
    <col min="3043" max="3043" width="58" style="7" customWidth="1"/>
    <col min="3044" max="3285" width="8.88671875" style="7"/>
    <col min="3286" max="3286" width="4.44140625" style="7" customWidth="1"/>
    <col min="3287" max="3287" width="13.6640625" style="7" customWidth="1"/>
    <col min="3288" max="3288" width="42.5546875" style="7" customWidth="1"/>
    <col min="3289" max="3289" width="5.88671875" style="7" bestFit="1" customWidth="1"/>
    <col min="3290" max="3290" width="16" style="7" bestFit="1" customWidth="1"/>
    <col min="3291" max="3291" width="17.109375" style="7" bestFit="1" customWidth="1"/>
    <col min="3292" max="3292" width="2.6640625" style="7" customWidth="1"/>
    <col min="3293" max="3293" width="3.109375" style="7" customWidth="1"/>
    <col min="3294" max="3294" width="9.6640625" style="7" customWidth="1"/>
    <col min="3295" max="3295" width="16.33203125" style="7" bestFit="1" customWidth="1"/>
    <col min="3296" max="3296" width="14.109375" style="7" customWidth="1"/>
    <col min="3297" max="3297" width="15.33203125" style="7" bestFit="1" customWidth="1"/>
    <col min="3298" max="3298" width="10.44140625" style="7" bestFit="1" customWidth="1"/>
    <col min="3299" max="3299" width="58" style="7" customWidth="1"/>
    <col min="3300" max="3541" width="8.88671875" style="7"/>
    <col min="3542" max="3542" width="4.44140625" style="7" customWidth="1"/>
    <col min="3543" max="3543" width="13.6640625" style="7" customWidth="1"/>
    <col min="3544" max="3544" width="42.5546875" style="7" customWidth="1"/>
    <col min="3545" max="3545" width="5.88671875" style="7" bestFit="1" customWidth="1"/>
    <col min="3546" max="3546" width="16" style="7" bestFit="1" customWidth="1"/>
    <col min="3547" max="3547" width="17.109375" style="7" bestFit="1" customWidth="1"/>
    <col min="3548" max="3548" width="2.6640625" style="7" customWidth="1"/>
    <col min="3549" max="3549" width="3.109375" style="7" customWidth="1"/>
    <col min="3550" max="3550" width="9.6640625" style="7" customWidth="1"/>
    <col min="3551" max="3551" width="16.33203125" style="7" bestFit="1" customWidth="1"/>
    <col min="3552" max="3552" width="14.109375" style="7" customWidth="1"/>
    <col min="3553" max="3553" width="15.33203125" style="7" bestFit="1" customWidth="1"/>
    <col min="3554" max="3554" width="10.44140625" style="7" bestFit="1" customWidth="1"/>
    <col min="3555" max="3555" width="58" style="7" customWidth="1"/>
    <col min="3556" max="3797" width="8.88671875" style="7"/>
    <col min="3798" max="3798" width="4.44140625" style="7" customWidth="1"/>
    <col min="3799" max="3799" width="13.6640625" style="7" customWidth="1"/>
    <col min="3800" max="3800" width="42.5546875" style="7" customWidth="1"/>
    <col min="3801" max="3801" width="5.88671875" style="7" bestFit="1" customWidth="1"/>
    <col min="3802" max="3802" width="16" style="7" bestFit="1" customWidth="1"/>
    <col min="3803" max="3803" width="17.109375" style="7" bestFit="1" customWidth="1"/>
    <col min="3804" max="3804" width="2.6640625" style="7" customWidth="1"/>
    <col min="3805" max="3805" width="3.109375" style="7" customWidth="1"/>
    <col min="3806" max="3806" width="9.6640625" style="7" customWidth="1"/>
    <col min="3807" max="3807" width="16.33203125" style="7" bestFit="1" customWidth="1"/>
    <col min="3808" max="3808" width="14.109375" style="7" customWidth="1"/>
    <col min="3809" max="3809" width="15.33203125" style="7" bestFit="1" customWidth="1"/>
    <col min="3810" max="3810" width="10.44140625" style="7" bestFit="1" customWidth="1"/>
    <col min="3811" max="3811" width="58" style="7" customWidth="1"/>
    <col min="3812" max="4053" width="8.88671875" style="7"/>
    <col min="4054" max="4054" width="4.44140625" style="7" customWidth="1"/>
    <col min="4055" max="4055" width="13.6640625" style="7" customWidth="1"/>
    <col min="4056" max="4056" width="42.5546875" style="7" customWidth="1"/>
    <col min="4057" max="4057" width="5.88671875" style="7" bestFit="1" customWidth="1"/>
    <col min="4058" max="4058" width="16" style="7" bestFit="1" customWidth="1"/>
    <col min="4059" max="4059" width="17.109375" style="7" bestFit="1" customWidth="1"/>
    <col min="4060" max="4060" width="2.6640625" style="7" customWidth="1"/>
    <col min="4061" max="4061" width="3.109375" style="7" customWidth="1"/>
    <col min="4062" max="4062" width="9.6640625" style="7" customWidth="1"/>
    <col min="4063" max="4063" width="16.33203125" style="7" bestFit="1" customWidth="1"/>
    <col min="4064" max="4064" width="14.109375" style="7" customWidth="1"/>
    <col min="4065" max="4065" width="15.33203125" style="7" bestFit="1" customWidth="1"/>
    <col min="4066" max="4066" width="10.44140625" style="7" bestFit="1" customWidth="1"/>
    <col min="4067" max="4067" width="58" style="7" customWidth="1"/>
    <col min="4068" max="4309" width="8.88671875" style="7"/>
    <col min="4310" max="4310" width="4.44140625" style="7" customWidth="1"/>
    <col min="4311" max="4311" width="13.6640625" style="7" customWidth="1"/>
    <col min="4312" max="4312" width="42.5546875" style="7" customWidth="1"/>
    <col min="4313" max="4313" width="5.88671875" style="7" bestFit="1" customWidth="1"/>
    <col min="4314" max="4314" width="16" style="7" bestFit="1" customWidth="1"/>
    <col min="4315" max="4315" width="17.109375" style="7" bestFit="1" customWidth="1"/>
    <col min="4316" max="4316" width="2.6640625" style="7" customWidth="1"/>
    <col min="4317" max="4317" width="3.109375" style="7" customWidth="1"/>
    <col min="4318" max="4318" width="9.6640625" style="7" customWidth="1"/>
    <col min="4319" max="4319" width="16.33203125" style="7" bestFit="1" customWidth="1"/>
    <col min="4320" max="4320" width="14.109375" style="7" customWidth="1"/>
    <col min="4321" max="4321" width="15.33203125" style="7" bestFit="1" customWidth="1"/>
    <col min="4322" max="4322" width="10.44140625" style="7" bestFit="1" customWidth="1"/>
    <col min="4323" max="4323" width="58" style="7" customWidth="1"/>
    <col min="4324" max="4565" width="8.88671875" style="7"/>
    <col min="4566" max="4566" width="4.44140625" style="7" customWidth="1"/>
    <col min="4567" max="4567" width="13.6640625" style="7" customWidth="1"/>
    <col min="4568" max="4568" width="42.5546875" style="7" customWidth="1"/>
    <col min="4569" max="4569" width="5.88671875" style="7" bestFit="1" customWidth="1"/>
    <col min="4570" max="4570" width="16" style="7" bestFit="1" customWidth="1"/>
    <col min="4571" max="4571" width="17.109375" style="7" bestFit="1" customWidth="1"/>
    <col min="4572" max="4572" width="2.6640625" style="7" customWidth="1"/>
    <col min="4573" max="4573" width="3.109375" style="7" customWidth="1"/>
    <col min="4574" max="4574" width="9.6640625" style="7" customWidth="1"/>
    <col min="4575" max="4575" width="16.33203125" style="7" bestFit="1" customWidth="1"/>
    <col min="4576" max="4576" width="14.109375" style="7" customWidth="1"/>
    <col min="4577" max="4577" width="15.33203125" style="7" bestFit="1" customWidth="1"/>
    <col min="4578" max="4578" width="10.44140625" style="7" bestFit="1" customWidth="1"/>
    <col min="4579" max="4579" width="58" style="7" customWidth="1"/>
    <col min="4580" max="4821" width="8.88671875" style="7"/>
    <col min="4822" max="4822" width="4.44140625" style="7" customWidth="1"/>
    <col min="4823" max="4823" width="13.6640625" style="7" customWidth="1"/>
    <col min="4824" max="4824" width="42.5546875" style="7" customWidth="1"/>
    <col min="4825" max="4825" width="5.88671875" style="7" bestFit="1" customWidth="1"/>
    <col min="4826" max="4826" width="16" style="7" bestFit="1" customWidth="1"/>
    <col min="4827" max="4827" width="17.109375" style="7" bestFit="1" customWidth="1"/>
    <col min="4828" max="4828" width="2.6640625" style="7" customWidth="1"/>
    <col min="4829" max="4829" width="3.109375" style="7" customWidth="1"/>
    <col min="4830" max="4830" width="9.6640625" style="7" customWidth="1"/>
    <col min="4831" max="4831" width="16.33203125" style="7" bestFit="1" customWidth="1"/>
    <col min="4832" max="4832" width="14.109375" style="7" customWidth="1"/>
    <col min="4833" max="4833" width="15.33203125" style="7" bestFit="1" customWidth="1"/>
    <col min="4834" max="4834" width="10.44140625" style="7" bestFit="1" customWidth="1"/>
    <col min="4835" max="4835" width="58" style="7" customWidth="1"/>
    <col min="4836" max="5077" width="8.88671875" style="7"/>
    <col min="5078" max="5078" width="4.44140625" style="7" customWidth="1"/>
    <col min="5079" max="5079" width="13.6640625" style="7" customWidth="1"/>
    <col min="5080" max="5080" width="42.5546875" style="7" customWidth="1"/>
    <col min="5081" max="5081" width="5.88671875" style="7" bestFit="1" customWidth="1"/>
    <col min="5082" max="5082" width="16" style="7" bestFit="1" customWidth="1"/>
    <col min="5083" max="5083" width="17.109375" style="7" bestFit="1" customWidth="1"/>
    <col min="5084" max="5084" width="2.6640625" style="7" customWidth="1"/>
    <col min="5085" max="5085" width="3.109375" style="7" customWidth="1"/>
    <col min="5086" max="5086" width="9.6640625" style="7" customWidth="1"/>
    <col min="5087" max="5087" width="16.33203125" style="7" bestFit="1" customWidth="1"/>
    <col min="5088" max="5088" width="14.109375" style="7" customWidth="1"/>
    <col min="5089" max="5089" width="15.33203125" style="7" bestFit="1" customWidth="1"/>
    <col min="5090" max="5090" width="10.44140625" style="7" bestFit="1" customWidth="1"/>
    <col min="5091" max="5091" width="58" style="7" customWidth="1"/>
    <col min="5092" max="5333" width="8.88671875" style="7"/>
    <col min="5334" max="5334" width="4.44140625" style="7" customWidth="1"/>
    <col min="5335" max="5335" width="13.6640625" style="7" customWidth="1"/>
    <col min="5336" max="5336" width="42.5546875" style="7" customWidth="1"/>
    <col min="5337" max="5337" width="5.88671875" style="7" bestFit="1" customWidth="1"/>
    <col min="5338" max="5338" width="16" style="7" bestFit="1" customWidth="1"/>
    <col min="5339" max="5339" width="17.109375" style="7" bestFit="1" customWidth="1"/>
    <col min="5340" max="5340" width="2.6640625" style="7" customWidth="1"/>
    <col min="5341" max="5341" width="3.109375" style="7" customWidth="1"/>
    <col min="5342" max="5342" width="9.6640625" style="7" customWidth="1"/>
    <col min="5343" max="5343" width="16.33203125" style="7" bestFit="1" customWidth="1"/>
    <col min="5344" max="5344" width="14.109375" style="7" customWidth="1"/>
    <col min="5345" max="5345" width="15.33203125" style="7" bestFit="1" customWidth="1"/>
    <col min="5346" max="5346" width="10.44140625" style="7" bestFit="1" customWidth="1"/>
    <col min="5347" max="5347" width="58" style="7" customWidth="1"/>
    <col min="5348" max="5589" width="8.88671875" style="7"/>
    <col min="5590" max="5590" width="4.44140625" style="7" customWidth="1"/>
    <col min="5591" max="5591" width="13.6640625" style="7" customWidth="1"/>
    <col min="5592" max="5592" width="42.5546875" style="7" customWidth="1"/>
    <col min="5593" max="5593" width="5.88671875" style="7" bestFit="1" customWidth="1"/>
    <col min="5594" max="5594" width="16" style="7" bestFit="1" customWidth="1"/>
    <col min="5595" max="5595" width="17.109375" style="7" bestFit="1" customWidth="1"/>
    <col min="5596" max="5596" width="2.6640625" style="7" customWidth="1"/>
    <col min="5597" max="5597" width="3.109375" style="7" customWidth="1"/>
    <col min="5598" max="5598" width="9.6640625" style="7" customWidth="1"/>
    <col min="5599" max="5599" width="16.33203125" style="7" bestFit="1" customWidth="1"/>
    <col min="5600" max="5600" width="14.109375" style="7" customWidth="1"/>
    <col min="5601" max="5601" width="15.33203125" style="7" bestFit="1" customWidth="1"/>
    <col min="5602" max="5602" width="10.44140625" style="7" bestFit="1" customWidth="1"/>
    <col min="5603" max="5603" width="58" style="7" customWidth="1"/>
    <col min="5604" max="5845" width="8.88671875" style="7"/>
    <col min="5846" max="5846" width="4.44140625" style="7" customWidth="1"/>
    <col min="5847" max="5847" width="13.6640625" style="7" customWidth="1"/>
    <col min="5848" max="5848" width="42.5546875" style="7" customWidth="1"/>
    <col min="5849" max="5849" width="5.88671875" style="7" bestFit="1" customWidth="1"/>
    <col min="5850" max="5850" width="16" style="7" bestFit="1" customWidth="1"/>
    <col min="5851" max="5851" width="17.109375" style="7" bestFit="1" customWidth="1"/>
    <col min="5852" max="5852" width="2.6640625" style="7" customWidth="1"/>
    <col min="5853" max="5853" width="3.109375" style="7" customWidth="1"/>
    <col min="5854" max="5854" width="9.6640625" style="7" customWidth="1"/>
    <col min="5855" max="5855" width="16.33203125" style="7" bestFit="1" customWidth="1"/>
    <col min="5856" max="5856" width="14.109375" style="7" customWidth="1"/>
    <col min="5857" max="5857" width="15.33203125" style="7" bestFit="1" customWidth="1"/>
    <col min="5858" max="5858" width="10.44140625" style="7" bestFit="1" customWidth="1"/>
    <col min="5859" max="5859" width="58" style="7" customWidth="1"/>
    <col min="5860" max="6101" width="8.88671875" style="7"/>
    <col min="6102" max="6102" width="4.44140625" style="7" customWidth="1"/>
    <col min="6103" max="6103" width="13.6640625" style="7" customWidth="1"/>
    <col min="6104" max="6104" width="42.5546875" style="7" customWidth="1"/>
    <col min="6105" max="6105" width="5.88671875" style="7" bestFit="1" customWidth="1"/>
    <col min="6106" max="6106" width="16" style="7" bestFit="1" customWidth="1"/>
    <col min="6107" max="6107" width="17.109375" style="7" bestFit="1" customWidth="1"/>
    <col min="6108" max="6108" width="2.6640625" style="7" customWidth="1"/>
    <col min="6109" max="6109" width="3.109375" style="7" customWidth="1"/>
    <col min="6110" max="6110" width="9.6640625" style="7" customWidth="1"/>
    <col min="6111" max="6111" width="16.33203125" style="7" bestFit="1" customWidth="1"/>
    <col min="6112" max="6112" width="14.109375" style="7" customWidth="1"/>
    <col min="6113" max="6113" width="15.33203125" style="7" bestFit="1" customWidth="1"/>
    <col min="6114" max="6114" width="10.44140625" style="7" bestFit="1" customWidth="1"/>
    <col min="6115" max="6115" width="58" style="7" customWidth="1"/>
    <col min="6116" max="6357" width="8.88671875" style="7"/>
    <col min="6358" max="6358" width="4.44140625" style="7" customWidth="1"/>
    <col min="6359" max="6359" width="13.6640625" style="7" customWidth="1"/>
    <col min="6360" max="6360" width="42.5546875" style="7" customWidth="1"/>
    <col min="6361" max="6361" width="5.88671875" style="7" bestFit="1" customWidth="1"/>
    <col min="6362" max="6362" width="16" style="7" bestFit="1" customWidth="1"/>
    <col min="6363" max="6363" width="17.109375" style="7" bestFit="1" customWidth="1"/>
    <col min="6364" max="6364" width="2.6640625" style="7" customWidth="1"/>
    <col min="6365" max="6365" width="3.109375" style="7" customWidth="1"/>
    <col min="6366" max="6366" width="9.6640625" style="7" customWidth="1"/>
    <col min="6367" max="6367" width="16.33203125" style="7" bestFit="1" customWidth="1"/>
    <col min="6368" max="6368" width="14.109375" style="7" customWidth="1"/>
    <col min="6369" max="6369" width="15.33203125" style="7" bestFit="1" customWidth="1"/>
    <col min="6370" max="6370" width="10.44140625" style="7" bestFit="1" customWidth="1"/>
    <col min="6371" max="6371" width="58" style="7" customWidth="1"/>
    <col min="6372" max="6613" width="8.88671875" style="7"/>
    <col min="6614" max="6614" width="4.44140625" style="7" customWidth="1"/>
    <col min="6615" max="6615" width="13.6640625" style="7" customWidth="1"/>
    <col min="6616" max="6616" width="42.5546875" style="7" customWidth="1"/>
    <col min="6617" max="6617" width="5.88671875" style="7" bestFit="1" customWidth="1"/>
    <col min="6618" max="6618" width="16" style="7" bestFit="1" customWidth="1"/>
    <col min="6619" max="6619" width="17.109375" style="7" bestFit="1" customWidth="1"/>
    <col min="6620" max="6620" width="2.6640625" style="7" customWidth="1"/>
    <col min="6621" max="6621" width="3.109375" style="7" customWidth="1"/>
    <col min="6622" max="6622" width="9.6640625" style="7" customWidth="1"/>
    <col min="6623" max="6623" width="16.33203125" style="7" bestFit="1" customWidth="1"/>
    <col min="6624" max="6624" width="14.109375" style="7" customWidth="1"/>
    <col min="6625" max="6625" width="15.33203125" style="7" bestFit="1" customWidth="1"/>
    <col min="6626" max="6626" width="10.44140625" style="7" bestFit="1" customWidth="1"/>
    <col min="6627" max="6627" width="58" style="7" customWidth="1"/>
    <col min="6628" max="6869" width="8.88671875" style="7"/>
    <col min="6870" max="6870" width="4.44140625" style="7" customWidth="1"/>
    <col min="6871" max="6871" width="13.6640625" style="7" customWidth="1"/>
    <col min="6872" max="6872" width="42.5546875" style="7" customWidth="1"/>
    <col min="6873" max="6873" width="5.88671875" style="7" bestFit="1" customWidth="1"/>
    <col min="6874" max="6874" width="16" style="7" bestFit="1" customWidth="1"/>
    <col min="6875" max="6875" width="17.109375" style="7" bestFit="1" customWidth="1"/>
    <col min="6876" max="6876" width="2.6640625" style="7" customWidth="1"/>
    <col min="6877" max="6877" width="3.109375" style="7" customWidth="1"/>
    <col min="6878" max="6878" width="9.6640625" style="7" customWidth="1"/>
    <col min="6879" max="6879" width="16.33203125" style="7" bestFit="1" customWidth="1"/>
    <col min="6880" max="6880" width="14.109375" style="7" customWidth="1"/>
    <col min="6881" max="6881" width="15.33203125" style="7" bestFit="1" customWidth="1"/>
    <col min="6882" max="6882" width="10.44140625" style="7" bestFit="1" customWidth="1"/>
    <col min="6883" max="6883" width="58" style="7" customWidth="1"/>
    <col min="6884" max="7125" width="8.88671875" style="7"/>
    <col min="7126" max="7126" width="4.44140625" style="7" customWidth="1"/>
    <col min="7127" max="7127" width="13.6640625" style="7" customWidth="1"/>
    <col min="7128" max="7128" width="42.5546875" style="7" customWidth="1"/>
    <col min="7129" max="7129" width="5.88671875" style="7" bestFit="1" customWidth="1"/>
    <col min="7130" max="7130" width="16" style="7" bestFit="1" customWidth="1"/>
    <col min="7131" max="7131" width="17.109375" style="7" bestFit="1" customWidth="1"/>
    <col min="7132" max="7132" width="2.6640625" style="7" customWidth="1"/>
    <col min="7133" max="7133" width="3.109375" style="7" customWidth="1"/>
    <col min="7134" max="7134" width="9.6640625" style="7" customWidth="1"/>
    <col min="7135" max="7135" width="16.33203125" style="7" bestFit="1" customWidth="1"/>
    <col min="7136" max="7136" width="14.109375" style="7" customWidth="1"/>
    <col min="7137" max="7137" width="15.33203125" style="7" bestFit="1" customWidth="1"/>
    <col min="7138" max="7138" width="10.44140625" style="7" bestFit="1" customWidth="1"/>
    <col min="7139" max="7139" width="58" style="7" customWidth="1"/>
    <col min="7140" max="7381" width="8.88671875" style="7"/>
    <col min="7382" max="7382" width="4.44140625" style="7" customWidth="1"/>
    <col min="7383" max="7383" width="13.6640625" style="7" customWidth="1"/>
    <col min="7384" max="7384" width="42.5546875" style="7" customWidth="1"/>
    <col min="7385" max="7385" width="5.88671875" style="7" bestFit="1" customWidth="1"/>
    <col min="7386" max="7386" width="16" style="7" bestFit="1" customWidth="1"/>
    <col min="7387" max="7387" width="17.109375" style="7" bestFit="1" customWidth="1"/>
    <col min="7388" max="7388" width="2.6640625" style="7" customWidth="1"/>
    <col min="7389" max="7389" width="3.109375" style="7" customWidth="1"/>
    <col min="7390" max="7390" width="9.6640625" style="7" customWidth="1"/>
    <col min="7391" max="7391" width="16.33203125" style="7" bestFit="1" customWidth="1"/>
    <col min="7392" max="7392" width="14.109375" style="7" customWidth="1"/>
    <col min="7393" max="7393" width="15.33203125" style="7" bestFit="1" customWidth="1"/>
    <col min="7394" max="7394" width="10.44140625" style="7" bestFit="1" customWidth="1"/>
    <col min="7395" max="7395" width="58" style="7" customWidth="1"/>
    <col min="7396" max="7637" width="8.88671875" style="7"/>
    <col min="7638" max="7638" width="4.44140625" style="7" customWidth="1"/>
    <col min="7639" max="7639" width="13.6640625" style="7" customWidth="1"/>
    <col min="7640" max="7640" width="42.5546875" style="7" customWidth="1"/>
    <col min="7641" max="7641" width="5.88671875" style="7" bestFit="1" customWidth="1"/>
    <col min="7642" max="7642" width="16" style="7" bestFit="1" customWidth="1"/>
    <col min="7643" max="7643" width="17.109375" style="7" bestFit="1" customWidth="1"/>
    <col min="7644" max="7644" width="2.6640625" style="7" customWidth="1"/>
    <col min="7645" max="7645" width="3.109375" style="7" customWidth="1"/>
    <col min="7646" max="7646" width="9.6640625" style="7" customWidth="1"/>
    <col min="7647" max="7647" width="16.33203125" style="7" bestFit="1" customWidth="1"/>
    <col min="7648" max="7648" width="14.109375" style="7" customWidth="1"/>
    <col min="7649" max="7649" width="15.33203125" style="7" bestFit="1" customWidth="1"/>
    <col min="7650" max="7650" width="10.44140625" style="7" bestFit="1" customWidth="1"/>
    <col min="7651" max="7651" width="58" style="7" customWidth="1"/>
    <col min="7652" max="7893" width="8.88671875" style="7"/>
    <col min="7894" max="7894" width="4.44140625" style="7" customWidth="1"/>
    <col min="7895" max="7895" width="13.6640625" style="7" customWidth="1"/>
    <col min="7896" max="7896" width="42.5546875" style="7" customWidth="1"/>
    <col min="7897" max="7897" width="5.88671875" style="7" bestFit="1" customWidth="1"/>
    <col min="7898" max="7898" width="16" style="7" bestFit="1" customWidth="1"/>
    <col min="7899" max="7899" width="17.109375" style="7" bestFit="1" customWidth="1"/>
    <col min="7900" max="7900" width="2.6640625" style="7" customWidth="1"/>
    <col min="7901" max="7901" width="3.109375" style="7" customWidth="1"/>
    <col min="7902" max="7902" width="9.6640625" style="7" customWidth="1"/>
    <col min="7903" max="7903" width="16.33203125" style="7" bestFit="1" customWidth="1"/>
    <col min="7904" max="7904" width="14.109375" style="7" customWidth="1"/>
    <col min="7905" max="7905" width="15.33203125" style="7" bestFit="1" customWidth="1"/>
    <col min="7906" max="7906" width="10.44140625" style="7" bestFit="1" customWidth="1"/>
    <col min="7907" max="7907" width="58" style="7" customWidth="1"/>
    <col min="7908" max="8149" width="8.88671875" style="7"/>
    <col min="8150" max="8150" width="4.44140625" style="7" customWidth="1"/>
    <col min="8151" max="8151" width="13.6640625" style="7" customWidth="1"/>
    <col min="8152" max="8152" width="42.5546875" style="7" customWidth="1"/>
    <col min="8153" max="8153" width="5.88671875" style="7" bestFit="1" customWidth="1"/>
    <col min="8154" max="8154" width="16" style="7" bestFit="1" customWidth="1"/>
    <col min="8155" max="8155" width="17.109375" style="7" bestFit="1" customWidth="1"/>
    <col min="8156" max="8156" width="2.6640625" style="7" customWidth="1"/>
    <col min="8157" max="8157" width="3.109375" style="7" customWidth="1"/>
    <col min="8158" max="8158" width="9.6640625" style="7" customWidth="1"/>
    <col min="8159" max="8159" width="16.33203125" style="7" bestFit="1" customWidth="1"/>
    <col min="8160" max="8160" width="14.109375" style="7" customWidth="1"/>
    <col min="8161" max="8161" width="15.33203125" style="7" bestFit="1" customWidth="1"/>
    <col min="8162" max="8162" width="10.44140625" style="7" bestFit="1" customWidth="1"/>
    <col min="8163" max="8163" width="58" style="7" customWidth="1"/>
    <col min="8164" max="8405" width="8.88671875" style="7"/>
    <col min="8406" max="8406" width="4.44140625" style="7" customWidth="1"/>
    <col min="8407" max="8407" width="13.6640625" style="7" customWidth="1"/>
    <col min="8408" max="8408" width="42.5546875" style="7" customWidth="1"/>
    <col min="8409" max="8409" width="5.88671875" style="7" bestFit="1" customWidth="1"/>
    <col min="8410" max="8410" width="16" style="7" bestFit="1" customWidth="1"/>
    <col min="8411" max="8411" width="17.109375" style="7" bestFit="1" customWidth="1"/>
    <col min="8412" max="8412" width="2.6640625" style="7" customWidth="1"/>
    <col min="8413" max="8413" width="3.109375" style="7" customWidth="1"/>
    <col min="8414" max="8414" width="9.6640625" style="7" customWidth="1"/>
    <col min="8415" max="8415" width="16.33203125" style="7" bestFit="1" customWidth="1"/>
    <col min="8416" max="8416" width="14.109375" style="7" customWidth="1"/>
    <col min="8417" max="8417" width="15.33203125" style="7" bestFit="1" customWidth="1"/>
    <col min="8418" max="8418" width="10.44140625" style="7" bestFit="1" customWidth="1"/>
    <col min="8419" max="8419" width="58" style="7" customWidth="1"/>
    <col min="8420" max="8661" width="8.88671875" style="7"/>
    <col min="8662" max="8662" width="4.44140625" style="7" customWidth="1"/>
    <col min="8663" max="8663" width="13.6640625" style="7" customWidth="1"/>
    <col min="8664" max="8664" width="42.5546875" style="7" customWidth="1"/>
    <col min="8665" max="8665" width="5.88671875" style="7" bestFit="1" customWidth="1"/>
    <col min="8666" max="8666" width="16" style="7" bestFit="1" customWidth="1"/>
    <col min="8667" max="8667" width="17.109375" style="7" bestFit="1" customWidth="1"/>
    <col min="8668" max="8668" width="2.6640625" style="7" customWidth="1"/>
    <col min="8669" max="8669" width="3.109375" style="7" customWidth="1"/>
    <col min="8670" max="8670" width="9.6640625" style="7" customWidth="1"/>
    <col min="8671" max="8671" width="16.33203125" style="7" bestFit="1" customWidth="1"/>
    <col min="8672" max="8672" width="14.109375" style="7" customWidth="1"/>
    <col min="8673" max="8673" width="15.33203125" style="7" bestFit="1" customWidth="1"/>
    <col min="8674" max="8674" width="10.44140625" style="7" bestFit="1" customWidth="1"/>
    <col min="8675" max="8675" width="58" style="7" customWidth="1"/>
    <col min="8676" max="8917" width="8.88671875" style="7"/>
    <col min="8918" max="8918" width="4.44140625" style="7" customWidth="1"/>
    <col min="8919" max="8919" width="13.6640625" style="7" customWidth="1"/>
    <col min="8920" max="8920" width="42.5546875" style="7" customWidth="1"/>
    <col min="8921" max="8921" width="5.88671875" style="7" bestFit="1" customWidth="1"/>
    <col min="8922" max="8922" width="16" style="7" bestFit="1" customWidth="1"/>
    <col min="8923" max="8923" width="17.109375" style="7" bestFit="1" customWidth="1"/>
    <col min="8924" max="8924" width="2.6640625" style="7" customWidth="1"/>
    <col min="8925" max="8925" width="3.109375" style="7" customWidth="1"/>
    <col min="8926" max="8926" width="9.6640625" style="7" customWidth="1"/>
    <col min="8927" max="8927" width="16.33203125" style="7" bestFit="1" customWidth="1"/>
    <col min="8928" max="8928" width="14.109375" style="7" customWidth="1"/>
    <col min="8929" max="8929" width="15.33203125" style="7" bestFit="1" customWidth="1"/>
    <col min="8930" max="8930" width="10.44140625" style="7" bestFit="1" customWidth="1"/>
    <col min="8931" max="8931" width="58" style="7" customWidth="1"/>
    <col min="8932" max="9173" width="8.88671875" style="7"/>
    <col min="9174" max="9174" width="4.44140625" style="7" customWidth="1"/>
    <col min="9175" max="9175" width="13.6640625" style="7" customWidth="1"/>
    <col min="9176" max="9176" width="42.5546875" style="7" customWidth="1"/>
    <col min="9177" max="9177" width="5.88671875" style="7" bestFit="1" customWidth="1"/>
    <col min="9178" max="9178" width="16" style="7" bestFit="1" customWidth="1"/>
    <col min="9179" max="9179" width="17.109375" style="7" bestFit="1" customWidth="1"/>
    <col min="9180" max="9180" width="2.6640625" style="7" customWidth="1"/>
    <col min="9181" max="9181" width="3.109375" style="7" customWidth="1"/>
    <col min="9182" max="9182" width="9.6640625" style="7" customWidth="1"/>
    <col min="9183" max="9183" width="16.33203125" style="7" bestFit="1" customWidth="1"/>
    <col min="9184" max="9184" width="14.109375" style="7" customWidth="1"/>
    <col min="9185" max="9185" width="15.33203125" style="7" bestFit="1" customWidth="1"/>
    <col min="9186" max="9186" width="10.44140625" style="7" bestFit="1" customWidth="1"/>
    <col min="9187" max="9187" width="58" style="7" customWidth="1"/>
    <col min="9188" max="9429" width="8.88671875" style="7"/>
    <col min="9430" max="9430" width="4.44140625" style="7" customWidth="1"/>
    <col min="9431" max="9431" width="13.6640625" style="7" customWidth="1"/>
    <col min="9432" max="9432" width="42.5546875" style="7" customWidth="1"/>
    <col min="9433" max="9433" width="5.88671875" style="7" bestFit="1" customWidth="1"/>
    <col min="9434" max="9434" width="16" style="7" bestFit="1" customWidth="1"/>
    <col min="9435" max="9435" width="17.109375" style="7" bestFit="1" customWidth="1"/>
    <col min="9436" max="9436" width="2.6640625" style="7" customWidth="1"/>
    <col min="9437" max="9437" width="3.109375" style="7" customWidth="1"/>
    <col min="9438" max="9438" width="9.6640625" style="7" customWidth="1"/>
    <col min="9439" max="9439" width="16.33203125" style="7" bestFit="1" customWidth="1"/>
    <col min="9440" max="9440" width="14.109375" style="7" customWidth="1"/>
    <col min="9441" max="9441" width="15.33203125" style="7" bestFit="1" customWidth="1"/>
    <col min="9442" max="9442" width="10.44140625" style="7" bestFit="1" customWidth="1"/>
    <col min="9443" max="9443" width="58" style="7" customWidth="1"/>
    <col min="9444" max="9685" width="8.88671875" style="7"/>
    <col min="9686" max="9686" width="4.44140625" style="7" customWidth="1"/>
    <col min="9687" max="9687" width="13.6640625" style="7" customWidth="1"/>
    <col min="9688" max="9688" width="42.5546875" style="7" customWidth="1"/>
    <col min="9689" max="9689" width="5.88671875" style="7" bestFit="1" customWidth="1"/>
    <col min="9690" max="9690" width="16" style="7" bestFit="1" customWidth="1"/>
    <col min="9691" max="9691" width="17.109375" style="7" bestFit="1" customWidth="1"/>
    <col min="9692" max="9692" width="2.6640625" style="7" customWidth="1"/>
    <col min="9693" max="9693" width="3.109375" style="7" customWidth="1"/>
    <col min="9694" max="9694" width="9.6640625" style="7" customWidth="1"/>
    <col min="9695" max="9695" width="16.33203125" style="7" bestFit="1" customWidth="1"/>
    <col min="9696" max="9696" width="14.109375" style="7" customWidth="1"/>
    <col min="9697" max="9697" width="15.33203125" style="7" bestFit="1" customWidth="1"/>
    <col min="9698" max="9698" width="10.44140625" style="7" bestFit="1" customWidth="1"/>
    <col min="9699" max="9699" width="58" style="7" customWidth="1"/>
    <col min="9700" max="9941" width="8.88671875" style="7"/>
    <col min="9942" max="9942" width="4.44140625" style="7" customWidth="1"/>
    <col min="9943" max="9943" width="13.6640625" style="7" customWidth="1"/>
    <col min="9944" max="9944" width="42.5546875" style="7" customWidth="1"/>
    <col min="9945" max="9945" width="5.88671875" style="7" bestFit="1" customWidth="1"/>
    <col min="9946" max="9946" width="16" style="7" bestFit="1" customWidth="1"/>
    <col min="9947" max="9947" width="17.109375" style="7" bestFit="1" customWidth="1"/>
    <col min="9948" max="9948" width="2.6640625" style="7" customWidth="1"/>
    <col min="9949" max="9949" width="3.109375" style="7" customWidth="1"/>
    <col min="9950" max="9950" width="9.6640625" style="7" customWidth="1"/>
    <col min="9951" max="9951" width="16.33203125" style="7" bestFit="1" customWidth="1"/>
    <col min="9952" max="9952" width="14.109375" style="7" customWidth="1"/>
    <col min="9953" max="9953" width="15.33203125" style="7" bestFit="1" customWidth="1"/>
    <col min="9954" max="9954" width="10.44140625" style="7" bestFit="1" customWidth="1"/>
    <col min="9955" max="9955" width="58" style="7" customWidth="1"/>
    <col min="9956" max="10197" width="8.88671875" style="7"/>
    <col min="10198" max="10198" width="4.44140625" style="7" customWidth="1"/>
    <col min="10199" max="10199" width="13.6640625" style="7" customWidth="1"/>
    <col min="10200" max="10200" width="42.5546875" style="7" customWidth="1"/>
    <col min="10201" max="10201" width="5.88671875" style="7" bestFit="1" customWidth="1"/>
    <col min="10202" max="10202" width="16" style="7" bestFit="1" customWidth="1"/>
    <col min="10203" max="10203" width="17.109375" style="7" bestFit="1" customWidth="1"/>
    <col min="10204" max="10204" width="2.6640625" style="7" customWidth="1"/>
    <col min="10205" max="10205" width="3.109375" style="7" customWidth="1"/>
    <col min="10206" max="10206" width="9.6640625" style="7" customWidth="1"/>
    <col min="10207" max="10207" width="16.33203125" style="7" bestFit="1" customWidth="1"/>
    <col min="10208" max="10208" width="14.109375" style="7" customWidth="1"/>
    <col min="10209" max="10209" width="15.33203125" style="7" bestFit="1" customWidth="1"/>
    <col min="10210" max="10210" width="10.44140625" style="7" bestFit="1" customWidth="1"/>
    <col min="10211" max="10211" width="58" style="7" customWidth="1"/>
    <col min="10212" max="10453" width="8.88671875" style="7"/>
    <col min="10454" max="10454" width="4.44140625" style="7" customWidth="1"/>
    <col min="10455" max="10455" width="13.6640625" style="7" customWidth="1"/>
    <col min="10456" max="10456" width="42.5546875" style="7" customWidth="1"/>
    <col min="10457" max="10457" width="5.88671875" style="7" bestFit="1" customWidth="1"/>
    <col min="10458" max="10458" width="16" style="7" bestFit="1" customWidth="1"/>
    <col min="10459" max="10459" width="17.109375" style="7" bestFit="1" customWidth="1"/>
    <col min="10460" max="10460" width="2.6640625" style="7" customWidth="1"/>
    <col min="10461" max="10461" width="3.109375" style="7" customWidth="1"/>
    <col min="10462" max="10462" width="9.6640625" style="7" customWidth="1"/>
    <col min="10463" max="10463" width="16.33203125" style="7" bestFit="1" customWidth="1"/>
    <col min="10464" max="10464" width="14.109375" style="7" customWidth="1"/>
    <col min="10465" max="10465" width="15.33203125" style="7" bestFit="1" customWidth="1"/>
    <col min="10466" max="10466" width="10.44140625" style="7" bestFit="1" customWidth="1"/>
    <col min="10467" max="10467" width="58" style="7" customWidth="1"/>
    <col min="10468" max="10709" width="8.88671875" style="7"/>
    <col min="10710" max="10710" width="4.44140625" style="7" customWidth="1"/>
    <col min="10711" max="10711" width="13.6640625" style="7" customWidth="1"/>
    <col min="10712" max="10712" width="42.5546875" style="7" customWidth="1"/>
    <col min="10713" max="10713" width="5.88671875" style="7" bestFit="1" customWidth="1"/>
    <col min="10714" max="10714" width="16" style="7" bestFit="1" customWidth="1"/>
    <col min="10715" max="10715" width="17.109375" style="7" bestFit="1" customWidth="1"/>
    <col min="10716" max="10716" width="2.6640625" style="7" customWidth="1"/>
    <col min="10717" max="10717" width="3.109375" style="7" customWidth="1"/>
    <col min="10718" max="10718" width="9.6640625" style="7" customWidth="1"/>
    <col min="10719" max="10719" width="16.33203125" style="7" bestFit="1" customWidth="1"/>
    <col min="10720" max="10720" width="14.109375" style="7" customWidth="1"/>
    <col min="10721" max="10721" width="15.33203125" style="7" bestFit="1" customWidth="1"/>
    <col min="10722" max="10722" width="10.44140625" style="7" bestFit="1" customWidth="1"/>
    <col min="10723" max="10723" width="58" style="7" customWidth="1"/>
    <col min="10724" max="10965" width="8.88671875" style="7"/>
    <col min="10966" max="10966" width="4.44140625" style="7" customWidth="1"/>
    <col min="10967" max="10967" width="13.6640625" style="7" customWidth="1"/>
    <col min="10968" max="10968" width="42.5546875" style="7" customWidth="1"/>
    <col min="10969" max="10969" width="5.88671875" style="7" bestFit="1" customWidth="1"/>
    <col min="10970" max="10970" width="16" style="7" bestFit="1" customWidth="1"/>
    <col min="10971" max="10971" width="17.109375" style="7" bestFit="1" customWidth="1"/>
    <col min="10972" max="10972" width="2.6640625" style="7" customWidth="1"/>
    <col min="10973" max="10973" width="3.109375" style="7" customWidth="1"/>
    <col min="10974" max="10974" width="9.6640625" style="7" customWidth="1"/>
    <col min="10975" max="10975" width="16.33203125" style="7" bestFit="1" customWidth="1"/>
    <col min="10976" max="10976" width="14.109375" style="7" customWidth="1"/>
    <col min="10977" max="10977" width="15.33203125" style="7" bestFit="1" customWidth="1"/>
    <col min="10978" max="10978" width="10.44140625" style="7" bestFit="1" customWidth="1"/>
    <col min="10979" max="10979" width="58" style="7" customWidth="1"/>
    <col min="10980" max="11221" width="8.88671875" style="7"/>
    <col min="11222" max="11222" width="4.44140625" style="7" customWidth="1"/>
    <col min="11223" max="11223" width="13.6640625" style="7" customWidth="1"/>
    <col min="11224" max="11224" width="42.5546875" style="7" customWidth="1"/>
    <col min="11225" max="11225" width="5.88671875" style="7" bestFit="1" customWidth="1"/>
    <col min="11226" max="11226" width="16" style="7" bestFit="1" customWidth="1"/>
    <col min="11227" max="11227" width="17.109375" style="7" bestFit="1" customWidth="1"/>
    <col min="11228" max="11228" width="2.6640625" style="7" customWidth="1"/>
    <col min="11229" max="11229" width="3.109375" style="7" customWidth="1"/>
    <col min="11230" max="11230" width="9.6640625" style="7" customWidth="1"/>
    <col min="11231" max="11231" width="16.33203125" style="7" bestFit="1" customWidth="1"/>
    <col min="11232" max="11232" width="14.109375" style="7" customWidth="1"/>
    <col min="11233" max="11233" width="15.33203125" style="7" bestFit="1" customWidth="1"/>
    <col min="11234" max="11234" width="10.44140625" style="7" bestFit="1" customWidth="1"/>
    <col min="11235" max="11235" width="58" style="7" customWidth="1"/>
    <col min="11236" max="11477" width="8.88671875" style="7"/>
    <col min="11478" max="11478" width="4.44140625" style="7" customWidth="1"/>
    <col min="11479" max="11479" width="13.6640625" style="7" customWidth="1"/>
    <col min="11480" max="11480" width="42.5546875" style="7" customWidth="1"/>
    <col min="11481" max="11481" width="5.88671875" style="7" bestFit="1" customWidth="1"/>
    <col min="11482" max="11482" width="16" style="7" bestFit="1" customWidth="1"/>
    <col min="11483" max="11483" width="17.109375" style="7" bestFit="1" customWidth="1"/>
    <col min="11484" max="11484" width="2.6640625" style="7" customWidth="1"/>
    <col min="11485" max="11485" width="3.109375" style="7" customWidth="1"/>
    <col min="11486" max="11486" width="9.6640625" style="7" customWidth="1"/>
    <col min="11487" max="11487" width="16.33203125" style="7" bestFit="1" customWidth="1"/>
    <col min="11488" max="11488" width="14.109375" style="7" customWidth="1"/>
    <col min="11489" max="11489" width="15.33203125" style="7" bestFit="1" customWidth="1"/>
    <col min="11490" max="11490" width="10.44140625" style="7" bestFit="1" customWidth="1"/>
    <col min="11491" max="11491" width="58" style="7" customWidth="1"/>
    <col min="11492" max="11733" width="8.88671875" style="7"/>
    <col min="11734" max="11734" width="4.44140625" style="7" customWidth="1"/>
    <col min="11735" max="11735" width="13.6640625" style="7" customWidth="1"/>
    <col min="11736" max="11736" width="42.5546875" style="7" customWidth="1"/>
    <col min="11737" max="11737" width="5.88671875" style="7" bestFit="1" customWidth="1"/>
    <col min="11738" max="11738" width="16" style="7" bestFit="1" customWidth="1"/>
    <col min="11739" max="11739" width="17.109375" style="7" bestFit="1" customWidth="1"/>
    <col min="11740" max="11740" width="2.6640625" style="7" customWidth="1"/>
    <col min="11741" max="11741" width="3.109375" style="7" customWidth="1"/>
    <col min="11742" max="11742" width="9.6640625" style="7" customWidth="1"/>
    <col min="11743" max="11743" width="16.33203125" style="7" bestFit="1" customWidth="1"/>
    <col min="11744" max="11744" width="14.109375" style="7" customWidth="1"/>
    <col min="11745" max="11745" width="15.33203125" style="7" bestFit="1" customWidth="1"/>
    <col min="11746" max="11746" width="10.44140625" style="7" bestFit="1" customWidth="1"/>
    <col min="11747" max="11747" width="58" style="7" customWidth="1"/>
    <col min="11748" max="11989" width="8.88671875" style="7"/>
    <col min="11990" max="11990" width="4.44140625" style="7" customWidth="1"/>
    <col min="11991" max="11991" width="13.6640625" style="7" customWidth="1"/>
    <col min="11992" max="11992" width="42.5546875" style="7" customWidth="1"/>
    <col min="11993" max="11993" width="5.88671875" style="7" bestFit="1" customWidth="1"/>
    <col min="11994" max="11994" width="16" style="7" bestFit="1" customWidth="1"/>
    <col min="11995" max="11995" width="17.109375" style="7" bestFit="1" customWidth="1"/>
    <col min="11996" max="11996" width="2.6640625" style="7" customWidth="1"/>
    <col min="11997" max="11997" width="3.109375" style="7" customWidth="1"/>
    <col min="11998" max="11998" width="9.6640625" style="7" customWidth="1"/>
    <col min="11999" max="11999" width="16.33203125" style="7" bestFit="1" customWidth="1"/>
    <col min="12000" max="12000" width="14.109375" style="7" customWidth="1"/>
    <col min="12001" max="12001" width="15.33203125" style="7" bestFit="1" customWidth="1"/>
    <col min="12002" max="12002" width="10.44140625" style="7" bestFit="1" customWidth="1"/>
    <col min="12003" max="12003" width="58" style="7" customWidth="1"/>
    <col min="12004" max="12245" width="8.88671875" style="7"/>
    <col min="12246" max="12246" width="4.44140625" style="7" customWidth="1"/>
    <col min="12247" max="12247" width="13.6640625" style="7" customWidth="1"/>
    <col min="12248" max="12248" width="42.5546875" style="7" customWidth="1"/>
    <col min="12249" max="12249" width="5.88671875" style="7" bestFit="1" customWidth="1"/>
    <col min="12250" max="12250" width="16" style="7" bestFit="1" customWidth="1"/>
    <col min="12251" max="12251" width="17.109375" style="7" bestFit="1" customWidth="1"/>
    <col min="12252" max="12252" width="2.6640625" style="7" customWidth="1"/>
    <col min="12253" max="12253" width="3.109375" style="7" customWidth="1"/>
    <col min="12254" max="12254" width="9.6640625" style="7" customWidth="1"/>
    <col min="12255" max="12255" width="16.33203125" style="7" bestFit="1" customWidth="1"/>
    <col min="12256" max="12256" width="14.109375" style="7" customWidth="1"/>
    <col min="12257" max="12257" width="15.33203125" style="7" bestFit="1" customWidth="1"/>
    <col min="12258" max="12258" width="10.44140625" style="7" bestFit="1" customWidth="1"/>
    <col min="12259" max="12259" width="58" style="7" customWidth="1"/>
    <col min="12260" max="12501" width="8.88671875" style="7"/>
    <col min="12502" max="12502" width="4.44140625" style="7" customWidth="1"/>
    <col min="12503" max="12503" width="13.6640625" style="7" customWidth="1"/>
    <col min="12504" max="12504" width="42.5546875" style="7" customWidth="1"/>
    <col min="12505" max="12505" width="5.88671875" style="7" bestFit="1" customWidth="1"/>
    <col min="12506" max="12506" width="16" style="7" bestFit="1" customWidth="1"/>
    <col min="12507" max="12507" width="17.109375" style="7" bestFit="1" customWidth="1"/>
    <col min="12508" max="12508" width="2.6640625" style="7" customWidth="1"/>
    <col min="12509" max="12509" width="3.109375" style="7" customWidth="1"/>
    <col min="12510" max="12510" width="9.6640625" style="7" customWidth="1"/>
    <col min="12511" max="12511" width="16.33203125" style="7" bestFit="1" customWidth="1"/>
    <col min="12512" max="12512" width="14.109375" style="7" customWidth="1"/>
    <col min="12513" max="12513" width="15.33203125" style="7" bestFit="1" customWidth="1"/>
    <col min="12514" max="12514" width="10.44140625" style="7" bestFit="1" customWidth="1"/>
    <col min="12515" max="12515" width="58" style="7" customWidth="1"/>
    <col min="12516" max="12757" width="8.88671875" style="7"/>
    <col min="12758" max="12758" width="4.44140625" style="7" customWidth="1"/>
    <col min="12759" max="12759" width="13.6640625" style="7" customWidth="1"/>
    <col min="12760" max="12760" width="42.5546875" style="7" customWidth="1"/>
    <col min="12761" max="12761" width="5.88671875" style="7" bestFit="1" customWidth="1"/>
    <col min="12762" max="12762" width="16" style="7" bestFit="1" customWidth="1"/>
    <col min="12763" max="12763" width="17.109375" style="7" bestFit="1" customWidth="1"/>
    <col min="12764" max="12764" width="2.6640625" style="7" customWidth="1"/>
    <col min="12765" max="12765" width="3.109375" style="7" customWidth="1"/>
    <col min="12766" max="12766" width="9.6640625" style="7" customWidth="1"/>
    <col min="12767" max="12767" width="16.33203125" style="7" bestFit="1" customWidth="1"/>
    <col min="12768" max="12768" width="14.109375" style="7" customWidth="1"/>
    <col min="12769" max="12769" width="15.33203125" style="7" bestFit="1" customWidth="1"/>
    <col min="12770" max="12770" width="10.44140625" style="7" bestFit="1" customWidth="1"/>
    <col min="12771" max="12771" width="58" style="7" customWidth="1"/>
    <col min="12772" max="13013" width="8.88671875" style="7"/>
    <col min="13014" max="13014" width="4.44140625" style="7" customWidth="1"/>
    <col min="13015" max="13015" width="13.6640625" style="7" customWidth="1"/>
    <col min="13016" max="13016" width="42.5546875" style="7" customWidth="1"/>
    <col min="13017" max="13017" width="5.88671875" style="7" bestFit="1" customWidth="1"/>
    <col min="13018" max="13018" width="16" style="7" bestFit="1" customWidth="1"/>
    <col min="13019" max="13019" width="17.109375" style="7" bestFit="1" customWidth="1"/>
    <col min="13020" max="13020" width="2.6640625" style="7" customWidth="1"/>
    <col min="13021" max="13021" width="3.109375" style="7" customWidth="1"/>
    <col min="13022" max="13022" width="9.6640625" style="7" customWidth="1"/>
    <col min="13023" max="13023" width="16.33203125" style="7" bestFit="1" customWidth="1"/>
    <col min="13024" max="13024" width="14.109375" style="7" customWidth="1"/>
    <col min="13025" max="13025" width="15.33203125" style="7" bestFit="1" customWidth="1"/>
    <col min="13026" max="13026" width="10.44140625" style="7" bestFit="1" customWidth="1"/>
    <col min="13027" max="13027" width="58" style="7" customWidth="1"/>
    <col min="13028" max="13269" width="8.88671875" style="7"/>
    <col min="13270" max="13270" width="4.44140625" style="7" customWidth="1"/>
    <col min="13271" max="13271" width="13.6640625" style="7" customWidth="1"/>
    <col min="13272" max="13272" width="42.5546875" style="7" customWidth="1"/>
    <col min="13273" max="13273" width="5.88671875" style="7" bestFit="1" customWidth="1"/>
    <col min="13274" max="13274" width="16" style="7" bestFit="1" customWidth="1"/>
    <col min="13275" max="13275" width="17.109375" style="7" bestFit="1" customWidth="1"/>
    <col min="13276" max="13276" width="2.6640625" style="7" customWidth="1"/>
    <col min="13277" max="13277" width="3.109375" style="7" customWidth="1"/>
    <col min="13278" max="13278" width="9.6640625" style="7" customWidth="1"/>
    <col min="13279" max="13279" width="16.33203125" style="7" bestFit="1" customWidth="1"/>
    <col min="13280" max="13280" width="14.109375" style="7" customWidth="1"/>
    <col min="13281" max="13281" width="15.33203125" style="7" bestFit="1" customWidth="1"/>
    <col min="13282" max="13282" width="10.44140625" style="7" bestFit="1" customWidth="1"/>
    <col min="13283" max="13283" width="58" style="7" customWidth="1"/>
    <col min="13284" max="13525" width="8.88671875" style="7"/>
    <col min="13526" max="13526" width="4.44140625" style="7" customWidth="1"/>
    <col min="13527" max="13527" width="13.6640625" style="7" customWidth="1"/>
    <col min="13528" max="13528" width="42.5546875" style="7" customWidth="1"/>
    <col min="13529" max="13529" width="5.88671875" style="7" bestFit="1" customWidth="1"/>
    <col min="13530" max="13530" width="16" style="7" bestFit="1" customWidth="1"/>
    <col min="13531" max="13531" width="17.109375" style="7" bestFit="1" customWidth="1"/>
    <col min="13532" max="13532" width="2.6640625" style="7" customWidth="1"/>
    <col min="13533" max="13533" width="3.109375" style="7" customWidth="1"/>
    <col min="13534" max="13534" width="9.6640625" style="7" customWidth="1"/>
    <col min="13535" max="13535" width="16.33203125" style="7" bestFit="1" customWidth="1"/>
    <col min="13536" max="13536" width="14.109375" style="7" customWidth="1"/>
    <col min="13537" max="13537" width="15.33203125" style="7" bestFit="1" customWidth="1"/>
    <col min="13538" max="13538" width="10.44140625" style="7" bestFit="1" customWidth="1"/>
    <col min="13539" max="13539" width="58" style="7" customWidth="1"/>
    <col min="13540" max="13781" width="8.88671875" style="7"/>
    <col min="13782" max="13782" width="4.44140625" style="7" customWidth="1"/>
    <col min="13783" max="13783" width="13.6640625" style="7" customWidth="1"/>
    <col min="13784" max="13784" width="42.5546875" style="7" customWidth="1"/>
    <col min="13785" max="13785" width="5.88671875" style="7" bestFit="1" customWidth="1"/>
    <col min="13786" max="13786" width="16" style="7" bestFit="1" customWidth="1"/>
    <col min="13787" max="13787" width="17.109375" style="7" bestFit="1" customWidth="1"/>
    <col min="13788" max="13788" width="2.6640625" style="7" customWidth="1"/>
    <col min="13789" max="13789" width="3.109375" style="7" customWidth="1"/>
    <col min="13790" max="13790" width="9.6640625" style="7" customWidth="1"/>
    <col min="13791" max="13791" width="16.33203125" style="7" bestFit="1" customWidth="1"/>
    <col min="13792" max="13792" width="14.109375" style="7" customWidth="1"/>
    <col min="13793" max="13793" width="15.33203125" style="7" bestFit="1" customWidth="1"/>
    <col min="13794" max="13794" width="10.44140625" style="7" bestFit="1" customWidth="1"/>
    <col min="13795" max="13795" width="58" style="7" customWidth="1"/>
    <col min="13796" max="14037" width="8.88671875" style="7"/>
    <col min="14038" max="14038" width="4.44140625" style="7" customWidth="1"/>
    <col min="14039" max="14039" width="13.6640625" style="7" customWidth="1"/>
    <col min="14040" max="14040" width="42.5546875" style="7" customWidth="1"/>
    <col min="14041" max="14041" width="5.88671875" style="7" bestFit="1" customWidth="1"/>
    <col min="14042" max="14042" width="16" style="7" bestFit="1" customWidth="1"/>
    <col min="14043" max="14043" width="17.109375" style="7" bestFit="1" customWidth="1"/>
    <col min="14044" max="14044" width="2.6640625" style="7" customWidth="1"/>
    <col min="14045" max="14045" width="3.109375" style="7" customWidth="1"/>
    <col min="14046" max="14046" width="9.6640625" style="7" customWidth="1"/>
    <col min="14047" max="14047" width="16.33203125" style="7" bestFit="1" customWidth="1"/>
    <col min="14048" max="14048" width="14.109375" style="7" customWidth="1"/>
    <col min="14049" max="14049" width="15.33203125" style="7" bestFit="1" customWidth="1"/>
    <col min="14050" max="14050" width="10.44140625" style="7" bestFit="1" customWidth="1"/>
    <col min="14051" max="14051" width="58" style="7" customWidth="1"/>
    <col min="14052" max="14293" width="8.88671875" style="7"/>
    <col min="14294" max="14294" width="4.44140625" style="7" customWidth="1"/>
    <col min="14295" max="14295" width="13.6640625" style="7" customWidth="1"/>
    <col min="14296" max="14296" width="42.5546875" style="7" customWidth="1"/>
    <col min="14297" max="14297" width="5.88671875" style="7" bestFit="1" customWidth="1"/>
    <col min="14298" max="14298" width="16" style="7" bestFit="1" customWidth="1"/>
    <col min="14299" max="14299" width="17.109375" style="7" bestFit="1" customWidth="1"/>
    <col min="14300" max="14300" width="2.6640625" style="7" customWidth="1"/>
    <col min="14301" max="14301" width="3.109375" style="7" customWidth="1"/>
    <col min="14302" max="14302" width="9.6640625" style="7" customWidth="1"/>
    <col min="14303" max="14303" width="16.33203125" style="7" bestFit="1" customWidth="1"/>
    <col min="14304" max="14304" width="14.109375" style="7" customWidth="1"/>
    <col min="14305" max="14305" width="15.33203125" style="7" bestFit="1" customWidth="1"/>
    <col min="14306" max="14306" width="10.44140625" style="7" bestFit="1" customWidth="1"/>
    <col min="14307" max="14307" width="58" style="7" customWidth="1"/>
    <col min="14308" max="14549" width="8.88671875" style="7"/>
    <col min="14550" max="14550" width="4.44140625" style="7" customWidth="1"/>
    <col min="14551" max="14551" width="13.6640625" style="7" customWidth="1"/>
    <col min="14552" max="14552" width="42.5546875" style="7" customWidth="1"/>
    <col min="14553" max="14553" width="5.88671875" style="7" bestFit="1" customWidth="1"/>
    <col min="14554" max="14554" width="16" style="7" bestFit="1" customWidth="1"/>
    <col min="14555" max="14555" width="17.109375" style="7" bestFit="1" customWidth="1"/>
    <col min="14556" max="14556" width="2.6640625" style="7" customWidth="1"/>
    <col min="14557" max="14557" width="3.109375" style="7" customWidth="1"/>
    <col min="14558" max="14558" width="9.6640625" style="7" customWidth="1"/>
    <col min="14559" max="14559" width="16.33203125" style="7" bestFit="1" customWidth="1"/>
    <col min="14560" max="14560" width="14.109375" style="7" customWidth="1"/>
    <col min="14561" max="14561" width="15.33203125" style="7" bestFit="1" customWidth="1"/>
    <col min="14562" max="14562" width="10.44140625" style="7" bestFit="1" customWidth="1"/>
    <col min="14563" max="14563" width="58" style="7" customWidth="1"/>
    <col min="14564" max="14805" width="8.88671875" style="7"/>
    <col min="14806" max="14806" width="4.44140625" style="7" customWidth="1"/>
    <col min="14807" max="14807" width="13.6640625" style="7" customWidth="1"/>
    <col min="14808" max="14808" width="42.5546875" style="7" customWidth="1"/>
    <col min="14809" max="14809" width="5.88671875" style="7" bestFit="1" customWidth="1"/>
    <col min="14810" max="14810" width="16" style="7" bestFit="1" customWidth="1"/>
    <col min="14811" max="14811" width="17.109375" style="7" bestFit="1" customWidth="1"/>
    <col min="14812" max="14812" width="2.6640625" style="7" customWidth="1"/>
    <col min="14813" max="14813" width="3.109375" style="7" customWidth="1"/>
    <col min="14814" max="14814" width="9.6640625" style="7" customWidth="1"/>
    <col min="14815" max="14815" width="16.33203125" style="7" bestFit="1" customWidth="1"/>
    <col min="14816" max="14816" width="14.109375" style="7" customWidth="1"/>
    <col min="14817" max="14817" width="15.33203125" style="7" bestFit="1" customWidth="1"/>
    <col min="14818" max="14818" width="10.44140625" style="7" bestFit="1" customWidth="1"/>
    <col min="14819" max="14819" width="58" style="7" customWidth="1"/>
    <col min="14820" max="15061" width="8.88671875" style="7"/>
    <col min="15062" max="15062" width="4.44140625" style="7" customWidth="1"/>
    <col min="15063" max="15063" width="13.6640625" style="7" customWidth="1"/>
    <col min="15064" max="15064" width="42.5546875" style="7" customWidth="1"/>
    <col min="15065" max="15065" width="5.88671875" style="7" bestFit="1" customWidth="1"/>
    <col min="15066" max="15066" width="16" style="7" bestFit="1" customWidth="1"/>
    <col min="15067" max="15067" width="17.109375" style="7" bestFit="1" customWidth="1"/>
    <col min="15068" max="15068" width="2.6640625" style="7" customWidth="1"/>
    <col min="15069" max="15069" width="3.109375" style="7" customWidth="1"/>
    <col min="15070" max="15070" width="9.6640625" style="7" customWidth="1"/>
    <col min="15071" max="15071" width="16.33203125" style="7" bestFit="1" customWidth="1"/>
    <col min="15072" max="15072" width="14.109375" style="7" customWidth="1"/>
    <col min="15073" max="15073" width="15.33203125" style="7" bestFit="1" customWidth="1"/>
    <col min="15074" max="15074" width="10.44140625" style="7" bestFit="1" customWidth="1"/>
    <col min="15075" max="15075" width="58" style="7" customWidth="1"/>
    <col min="15076" max="15317" width="8.88671875" style="7"/>
    <col min="15318" max="15318" width="4.44140625" style="7" customWidth="1"/>
    <col min="15319" max="15319" width="13.6640625" style="7" customWidth="1"/>
    <col min="15320" max="15320" width="42.5546875" style="7" customWidth="1"/>
    <col min="15321" max="15321" width="5.88671875" style="7" bestFit="1" customWidth="1"/>
    <col min="15322" max="15322" width="16" style="7" bestFit="1" customWidth="1"/>
    <col min="15323" max="15323" width="17.109375" style="7" bestFit="1" customWidth="1"/>
    <col min="15324" max="15324" width="2.6640625" style="7" customWidth="1"/>
    <col min="15325" max="15325" width="3.109375" style="7" customWidth="1"/>
    <col min="15326" max="15326" width="9.6640625" style="7" customWidth="1"/>
    <col min="15327" max="15327" width="16.33203125" style="7" bestFit="1" customWidth="1"/>
    <col min="15328" max="15328" width="14.109375" style="7" customWidth="1"/>
    <col min="15329" max="15329" width="15.33203125" style="7" bestFit="1" customWidth="1"/>
    <col min="15330" max="15330" width="10.44140625" style="7" bestFit="1" customWidth="1"/>
    <col min="15331" max="15331" width="58" style="7" customWidth="1"/>
    <col min="15332" max="15573" width="8.88671875" style="7"/>
    <col min="15574" max="15574" width="4.44140625" style="7" customWidth="1"/>
    <col min="15575" max="15575" width="13.6640625" style="7" customWidth="1"/>
    <col min="15576" max="15576" width="42.5546875" style="7" customWidth="1"/>
    <col min="15577" max="15577" width="5.88671875" style="7" bestFit="1" customWidth="1"/>
    <col min="15578" max="15578" width="16" style="7" bestFit="1" customWidth="1"/>
    <col min="15579" max="15579" width="17.109375" style="7" bestFit="1" customWidth="1"/>
    <col min="15580" max="15580" width="2.6640625" style="7" customWidth="1"/>
    <col min="15581" max="15581" width="3.109375" style="7" customWidth="1"/>
    <col min="15582" max="15582" width="9.6640625" style="7" customWidth="1"/>
    <col min="15583" max="15583" width="16.33203125" style="7" bestFit="1" customWidth="1"/>
    <col min="15584" max="15584" width="14.109375" style="7" customWidth="1"/>
    <col min="15585" max="15585" width="15.33203125" style="7" bestFit="1" customWidth="1"/>
    <col min="15586" max="15586" width="10.44140625" style="7" bestFit="1" customWidth="1"/>
    <col min="15587" max="15587" width="58" style="7" customWidth="1"/>
    <col min="15588" max="15829" width="8.88671875" style="7"/>
    <col min="15830" max="15830" width="4.44140625" style="7" customWidth="1"/>
    <col min="15831" max="15831" width="13.6640625" style="7" customWidth="1"/>
    <col min="15832" max="15832" width="42.5546875" style="7" customWidth="1"/>
    <col min="15833" max="15833" width="5.88671875" style="7" bestFit="1" customWidth="1"/>
    <col min="15834" max="15834" width="16" style="7" bestFit="1" customWidth="1"/>
    <col min="15835" max="15835" width="17.109375" style="7" bestFit="1" customWidth="1"/>
    <col min="15836" max="15836" width="2.6640625" style="7" customWidth="1"/>
    <col min="15837" max="15837" width="3.109375" style="7" customWidth="1"/>
    <col min="15838" max="15838" width="9.6640625" style="7" customWidth="1"/>
    <col min="15839" max="15839" width="16.33203125" style="7" bestFit="1" customWidth="1"/>
    <col min="15840" max="15840" width="14.109375" style="7" customWidth="1"/>
    <col min="15841" max="15841" width="15.33203125" style="7" bestFit="1" customWidth="1"/>
    <col min="15842" max="15842" width="10.44140625" style="7" bestFit="1" customWidth="1"/>
    <col min="15843" max="15843" width="58" style="7" customWidth="1"/>
    <col min="15844" max="16085" width="8.88671875" style="7"/>
    <col min="16086" max="16086" width="4.44140625" style="7" customWidth="1"/>
    <col min="16087" max="16087" width="13.6640625" style="7" customWidth="1"/>
    <col min="16088" max="16088" width="42.5546875" style="7" customWidth="1"/>
    <col min="16089" max="16089" width="5.88671875" style="7" bestFit="1" customWidth="1"/>
    <col min="16090" max="16090" width="16" style="7" bestFit="1" customWidth="1"/>
    <col min="16091" max="16091" width="17.109375" style="7" bestFit="1" customWidth="1"/>
    <col min="16092" max="16092" width="2.6640625" style="7" customWidth="1"/>
    <col min="16093" max="16093" width="3.109375" style="7" customWidth="1"/>
    <col min="16094" max="16094" width="9.6640625" style="7" customWidth="1"/>
    <col min="16095" max="16095" width="16.33203125" style="7" bestFit="1" customWidth="1"/>
    <col min="16096" max="16096" width="14.109375" style="7" customWidth="1"/>
    <col min="16097" max="16097" width="15.33203125" style="7" bestFit="1" customWidth="1"/>
    <col min="16098" max="16098" width="10.44140625" style="7" bestFit="1" customWidth="1"/>
    <col min="16099" max="16099" width="58" style="7" customWidth="1"/>
    <col min="16100" max="16384" width="8.88671875" style="7"/>
  </cols>
  <sheetData>
    <row r="1" spans="1:16" hidden="1" outlineLevel="1" x14ac:dyDescent="0.3">
      <c r="B1" s="57"/>
      <c r="C1" s="71"/>
      <c r="D1" s="72"/>
      <c r="F1" s="4" t="s">
        <v>1</v>
      </c>
      <c r="G1" s="73"/>
      <c r="H1" s="73"/>
      <c r="I1" s="73"/>
      <c r="J1" s="73"/>
      <c r="K1" s="74"/>
      <c r="L1" s="5" t="s">
        <v>2</v>
      </c>
      <c r="M1" s="6">
        <v>1</v>
      </c>
    </row>
    <row r="2" spans="1:16" ht="21" hidden="1" outlineLevel="1" x14ac:dyDescent="0.3">
      <c r="B2" s="57"/>
      <c r="C2" s="75"/>
      <c r="D2" s="76"/>
      <c r="F2" s="9" t="s">
        <v>4</v>
      </c>
      <c r="G2" s="77"/>
      <c r="H2" s="77"/>
      <c r="I2" s="77"/>
      <c r="J2" s="77"/>
      <c r="K2" s="78"/>
      <c r="L2" s="5" t="s">
        <v>5</v>
      </c>
      <c r="M2" s="6">
        <v>3.75</v>
      </c>
      <c r="N2" s="21"/>
      <c r="O2" s="21"/>
      <c r="P2" s="21"/>
    </row>
    <row r="3" spans="1:16" hidden="1" outlineLevel="1" x14ac:dyDescent="0.3">
      <c r="B3" s="57"/>
      <c r="C3" s="79"/>
      <c r="D3" s="76"/>
      <c r="F3" s="9" t="s">
        <v>7</v>
      </c>
      <c r="G3" s="77"/>
      <c r="H3" s="77"/>
      <c r="I3" s="77"/>
      <c r="J3" s="77"/>
      <c r="K3" s="78"/>
      <c r="L3" s="10" t="s">
        <v>8</v>
      </c>
      <c r="M3" s="24">
        <v>0.6</v>
      </c>
    </row>
    <row r="4" spans="1:16" hidden="1" outlineLevel="1" x14ac:dyDescent="0.3">
      <c r="B4" s="57"/>
      <c r="C4" s="79"/>
      <c r="D4" s="76"/>
      <c r="F4" s="9" t="s">
        <v>10</v>
      </c>
      <c r="G4" s="77"/>
      <c r="H4" s="77"/>
      <c r="I4" s="77"/>
      <c r="J4" s="77"/>
      <c r="K4" s="78"/>
      <c r="L4" s="10" t="s">
        <v>11</v>
      </c>
      <c r="M4" s="24">
        <v>0.3</v>
      </c>
      <c r="N4" s="22"/>
      <c r="O4" s="22"/>
      <c r="P4" s="22"/>
    </row>
    <row r="5" spans="1:16" hidden="1" outlineLevel="1" x14ac:dyDescent="0.3">
      <c r="B5" s="57"/>
      <c r="C5" s="79"/>
      <c r="D5" s="76"/>
      <c r="F5" s="9" t="s">
        <v>13</v>
      </c>
      <c r="G5" s="77"/>
      <c r="H5" s="77"/>
      <c r="I5" s="77"/>
      <c r="J5" s="77"/>
      <c r="K5" s="78"/>
      <c r="L5" s="10" t="s">
        <v>95</v>
      </c>
      <c r="M5" s="11">
        <v>1.17</v>
      </c>
      <c r="N5" s="22"/>
      <c r="O5" s="22"/>
      <c r="P5" s="22"/>
    </row>
    <row r="6" spans="1:16" hidden="1" outlineLevel="1" x14ac:dyDescent="0.3">
      <c r="B6" s="57"/>
      <c r="C6" s="81"/>
      <c r="D6" s="82"/>
      <c r="F6" s="13" t="s">
        <v>15</v>
      </c>
      <c r="G6" s="83"/>
      <c r="H6" s="83"/>
      <c r="I6" s="83"/>
      <c r="J6" s="83"/>
      <c r="K6" s="84"/>
      <c r="L6" s="14"/>
      <c r="M6" s="11">
        <v>0</v>
      </c>
      <c r="N6" s="22"/>
      <c r="O6" s="22"/>
      <c r="P6" s="22"/>
    </row>
    <row r="7" spans="1:16" hidden="1" outlineLevel="1" x14ac:dyDescent="0.3">
      <c r="D7" s="27"/>
      <c r="E7" s="7"/>
      <c r="F7" s="7"/>
    </row>
    <row r="8" spans="1:16" collapsed="1" x14ac:dyDescent="0.3">
      <c r="D8" s="27"/>
      <c r="E8" s="7"/>
      <c r="F8" s="7"/>
    </row>
    <row r="9" spans="1:16" x14ac:dyDescent="0.3">
      <c r="D9" s="27"/>
      <c r="E9" s="7"/>
      <c r="F9" s="7"/>
      <c r="I9" s="15">
        <v>0.15</v>
      </c>
    </row>
    <row r="10" spans="1:16" ht="13.8" x14ac:dyDescent="0.3">
      <c r="A10" s="29" t="s">
        <v>100</v>
      </c>
      <c r="B10" s="29" t="s">
        <v>101</v>
      </c>
      <c r="C10" s="29" t="s">
        <v>96</v>
      </c>
      <c r="D10" s="29" t="s">
        <v>97</v>
      </c>
      <c r="E10" s="29" t="s">
        <v>98</v>
      </c>
      <c r="F10" s="29" t="s">
        <v>99</v>
      </c>
      <c r="I10" s="29" t="s">
        <v>22</v>
      </c>
      <c r="J10" s="29" t="s">
        <v>23</v>
      </c>
      <c r="K10" s="29" t="s">
        <v>24</v>
      </c>
      <c r="L10" s="29" t="s">
        <v>25</v>
      </c>
      <c r="M10" s="29" t="s">
        <v>26</v>
      </c>
      <c r="N10" s="29" t="s">
        <v>27</v>
      </c>
      <c r="O10" s="29" t="s">
        <v>28</v>
      </c>
      <c r="P10" s="29" t="s">
        <v>29</v>
      </c>
    </row>
    <row r="11" spans="1:16" ht="13.8" x14ac:dyDescent="0.3">
      <c r="A11" s="36" t="s">
        <v>55</v>
      </c>
      <c r="B11" s="80"/>
      <c r="C11" s="80"/>
      <c r="D11" s="80"/>
      <c r="E11" s="80"/>
      <c r="F11" s="80"/>
      <c r="I11" s="53"/>
      <c r="J11" s="54"/>
      <c r="K11" s="54"/>
      <c r="L11" s="54"/>
      <c r="M11" s="55"/>
      <c r="N11" s="56"/>
      <c r="O11" s="56"/>
      <c r="P11" s="56"/>
    </row>
    <row r="12" spans="1:16" ht="13.8" x14ac:dyDescent="0.3">
      <c r="A12" s="66">
        <v>1</v>
      </c>
      <c r="B12" s="65" t="s">
        <v>102</v>
      </c>
      <c r="C12" s="63" t="s">
        <v>103</v>
      </c>
      <c r="D12" s="64">
        <v>1</v>
      </c>
      <c r="E12" s="91">
        <f>ROUND((K12/(1-I12)),0)</f>
        <v>317647</v>
      </c>
      <c r="F12" s="91">
        <f>D12*E12</f>
        <v>317647</v>
      </c>
      <c r="I12" s="59">
        <f>I9</f>
        <v>0.15</v>
      </c>
      <c r="J12" s="60">
        <v>0</v>
      </c>
      <c r="K12" s="60">
        <v>270000</v>
      </c>
      <c r="L12" s="60">
        <f>K12*D12</f>
        <v>270000</v>
      </c>
      <c r="M12" s="61">
        <v>0</v>
      </c>
      <c r="N12" s="58"/>
      <c r="O12" s="58"/>
      <c r="P12" s="58"/>
    </row>
    <row r="13" spans="1:16" x14ac:dyDescent="0.3">
      <c r="A13" s="62"/>
      <c r="B13" s="62"/>
      <c r="C13" s="62"/>
      <c r="D13" s="62"/>
      <c r="E13" s="62"/>
      <c r="F13" s="62"/>
      <c r="I13" s="53"/>
      <c r="J13" s="54"/>
      <c r="K13" s="54"/>
      <c r="L13" s="54"/>
      <c r="M13" s="55"/>
      <c r="N13" s="56"/>
      <c r="O13" s="56"/>
      <c r="P13" s="56"/>
    </row>
    <row r="14" spans="1:16" ht="13.8" x14ac:dyDescent="0.3">
      <c r="A14" s="67">
        <v>2</v>
      </c>
      <c r="B14" s="65" t="s">
        <v>102</v>
      </c>
      <c r="C14" s="63" t="s">
        <v>104</v>
      </c>
      <c r="D14" s="64">
        <v>1</v>
      </c>
      <c r="E14" s="91">
        <f>ROUND((K14/(1-I14)),0)</f>
        <v>211765</v>
      </c>
      <c r="F14" s="91">
        <f>D14*E14</f>
        <v>211765</v>
      </c>
      <c r="I14" s="59">
        <f>I9</f>
        <v>0.15</v>
      </c>
      <c r="J14" s="60">
        <v>0</v>
      </c>
      <c r="K14" s="60">
        <v>180000</v>
      </c>
      <c r="L14" s="60">
        <f t="shared" ref="L14" si="0">K14*D14</f>
        <v>180000</v>
      </c>
      <c r="M14" s="61">
        <v>0</v>
      </c>
      <c r="N14" s="58"/>
      <c r="O14" s="58"/>
      <c r="P14" s="58"/>
    </row>
    <row r="15" spans="1:16" x14ac:dyDescent="0.3">
      <c r="A15" s="62"/>
      <c r="B15" s="62"/>
      <c r="C15" s="62"/>
      <c r="D15" s="62"/>
      <c r="E15" s="62"/>
      <c r="F15" s="62"/>
      <c r="I15" s="53"/>
      <c r="J15" s="54"/>
      <c r="K15" s="54"/>
      <c r="L15" s="54"/>
      <c r="M15" s="55"/>
      <c r="N15" s="56"/>
      <c r="O15" s="56"/>
      <c r="P15" s="56"/>
    </row>
    <row r="16" spans="1:16" ht="13.8" x14ac:dyDescent="0.3">
      <c r="A16" s="67">
        <v>3</v>
      </c>
      <c r="B16" s="65" t="s">
        <v>102</v>
      </c>
      <c r="C16" s="63" t="s">
        <v>105</v>
      </c>
      <c r="D16" s="64">
        <v>1</v>
      </c>
      <c r="E16" s="91">
        <f>ROUND((K16/(1-I16)),0)</f>
        <v>200000</v>
      </c>
      <c r="F16" s="91">
        <f>D16*E16</f>
        <v>200000</v>
      </c>
      <c r="I16" s="59">
        <f>I9</f>
        <v>0.15</v>
      </c>
      <c r="J16" s="60">
        <v>0</v>
      </c>
      <c r="K16" s="60">
        <v>170000</v>
      </c>
      <c r="L16" s="60">
        <f t="shared" ref="L16" si="1">K16*D16</f>
        <v>170000</v>
      </c>
      <c r="M16" s="61">
        <v>0</v>
      </c>
      <c r="N16" s="58"/>
      <c r="O16" s="58"/>
      <c r="P16" s="58"/>
    </row>
    <row r="17" spans="1:19" x14ac:dyDescent="0.3">
      <c r="A17" s="62"/>
      <c r="B17" s="62"/>
      <c r="C17" s="62"/>
      <c r="D17" s="62"/>
      <c r="E17" s="62"/>
      <c r="F17" s="62"/>
      <c r="I17" s="53"/>
      <c r="J17" s="54"/>
      <c r="K17" s="54"/>
      <c r="L17" s="54"/>
      <c r="M17" s="55"/>
      <c r="N17" s="56"/>
      <c r="O17" s="56"/>
      <c r="P17" s="56"/>
    </row>
    <row r="18" spans="1:19" x14ac:dyDescent="0.3">
      <c r="A18" s="68"/>
      <c r="B18" s="62"/>
      <c r="C18" s="62"/>
      <c r="D18" s="62"/>
      <c r="E18" s="62"/>
      <c r="F18" s="62"/>
      <c r="I18" s="53"/>
      <c r="J18" s="54"/>
      <c r="K18" s="54"/>
      <c r="L18" s="54"/>
      <c r="M18" s="55"/>
      <c r="N18" s="56"/>
      <c r="O18" s="56"/>
      <c r="P18" s="56"/>
    </row>
    <row r="19" spans="1:19" ht="13.8" x14ac:dyDescent="0.3">
      <c r="A19" s="29"/>
      <c r="B19" s="29"/>
      <c r="C19" s="70" t="s">
        <v>30</v>
      </c>
      <c r="D19" s="70"/>
      <c r="E19" s="70"/>
      <c r="F19" s="19">
        <f>SUM(F12:F18)</f>
        <v>729412</v>
      </c>
      <c r="I19" s="16">
        <f>I9</f>
        <v>0.15</v>
      </c>
      <c r="J19" s="17">
        <v>0</v>
      </c>
      <c r="K19" s="17">
        <f t="shared" ref="K19:K20" si="2">J19*$M$2*(1-M19)</f>
        <v>0</v>
      </c>
      <c r="L19" s="17">
        <f>K19</f>
        <v>0</v>
      </c>
      <c r="M19" s="18">
        <v>0</v>
      </c>
      <c r="N19" s="23"/>
      <c r="O19" s="23"/>
      <c r="P19" s="23"/>
    </row>
    <row r="20" spans="1:19" ht="13.8" x14ac:dyDescent="0.3">
      <c r="A20" s="29"/>
      <c r="B20" s="29"/>
      <c r="C20" s="70" t="s">
        <v>31</v>
      </c>
      <c r="D20" s="70"/>
      <c r="E20" s="70"/>
      <c r="F20" s="19">
        <f>F19*0.15</f>
        <v>109411.8</v>
      </c>
      <c r="I20" s="16">
        <f>I9</f>
        <v>0.15</v>
      </c>
      <c r="J20" s="17">
        <v>0</v>
      </c>
      <c r="K20" s="17">
        <f t="shared" si="2"/>
        <v>0</v>
      </c>
      <c r="L20" s="17">
        <f>K20</f>
        <v>0</v>
      </c>
      <c r="M20" s="18">
        <v>0</v>
      </c>
      <c r="N20" s="23"/>
      <c r="O20" s="23"/>
      <c r="P20" s="23"/>
    </row>
    <row r="21" spans="1:19" ht="13.8" x14ac:dyDescent="0.3">
      <c r="A21" s="29"/>
      <c r="B21" s="29"/>
      <c r="C21" s="70" t="s">
        <v>32</v>
      </c>
      <c r="D21" s="70"/>
      <c r="E21" s="70"/>
      <c r="F21" s="19">
        <f>F19+F20</f>
        <v>838823.8</v>
      </c>
      <c r="I21" s="30">
        <f>(F19-L21)/F19</f>
        <v>0.15000027419345993</v>
      </c>
      <c r="J21" s="29"/>
      <c r="K21" s="29"/>
      <c r="L21" s="19">
        <f>SUM(L12:L18)</f>
        <v>620000</v>
      </c>
      <c r="M21" s="29"/>
      <c r="N21" s="29"/>
      <c r="O21" s="29"/>
      <c r="P21" s="29"/>
      <c r="S21" s="25"/>
    </row>
    <row r="24" spans="1:19" ht="14.4" x14ac:dyDescent="0.3">
      <c r="F24" s="69"/>
    </row>
    <row r="25" spans="1:19" x14ac:dyDescent="0.3">
      <c r="L25" s="25"/>
    </row>
  </sheetData>
  <autoFilter ref="A10:P21" xr:uid="{1AA8C2C7-09D8-4FB6-9C31-2BD0460BA0EF}"/>
  <mergeCells count="16">
    <mergeCell ref="C19:E19"/>
    <mergeCell ref="C20:E20"/>
    <mergeCell ref="C21:E21"/>
    <mergeCell ref="C1:D1"/>
    <mergeCell ref="G1:K1"/>
    <mergeCell ref="C2:D2"/>
    <mergeCell ref="G2:K2"/>
    <mergeCell ref="C3:D3"/>
    <mergeCell ref="G3:K3"/>
    <mergeCell ref="B11:F11"/>
    <mergeCell ref="C4:D4"/>
    <mergeCell ref="G4:K4"/>
    <mergeCell ref="C5:D5"/>
    <mergeCell ref="G5:K5"/>
    <mergeCell ref="C6:D6"/>
    <mergeCell ref="G6:K6"/>
  </mergeCells>
  <printOptions horizontalCentered="1" verticalCentered="1"/>
  <pageMargins left="0.25" right="0" top="0.75" bottom="0.75" header="0.3" footer="0.3"/>
  <pageSetup paperSize="9" scale="42" fitToHeight="0" orientation="portrait" r:id="rId1"/>
  <headerFooter alignWithMargins="0">
    <oddFooter>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9B98-E533-4690-AAA3-7A9DC3FF1AE6}">
  <dimension ref="A3:C20"/>
  <sheetViews>
    <sheetView workbookViewId="0">
      <selection activeCell="B24" sqref="B24"/>
    </sheetView>
  </sheetViews>
  <sheetFormatPr defaultRowHeight="14.4" x14ac:dyDescent="0.3"/>
  <cols>
    <col min="2" max="2" width="255.6640625" bestFit="1" customWidth="1"/>
    <col min="3" max="3" width="10.44140625" bestFit="1" customWidth="1"/>
  </cols>
  <sheetData>
    <row r="3" spans="1:3" x14ac:dyDescent="0.3">
      <c r="A3" s="52" t="s">
        <v>17</v>
      </c>
      <c r="B3" s="52" t="s">
        <v>18</v>
      </c>
      <c r="C3" t="s">
        <v>90</v>
      </c>
    </row>
    <row r="4" spans="1:3" x14ac:dyDescent="0.3">
      <c r="A4" t="s">
        <v>74</v>
      </c>
      <c r="B4" t="s">
        <v>75</v>
      </c>
      <c r="C4">
        <v>1</v>
      </c>
    </row>
    <row r="5" spans="1:3" x14ac:dyDescent="0.3">
      <c r="A5" t="s">
        <v>49</v>
      </c>
      <c r="B5" t="s">
        <v>50</v>
      </c>
      <c r="C5">
        <v>5</v>
      </c>
    </row>
    <row r="6" spans="1:3" x14ac:dyDescent="0.3">
      <c r="A6" t="s">
        <v>51</v>
      </c>
      <c r="B6" t="s">
        <v>52</v>
      </c>
      <c r="C6">
        <v>2</v>
      </c>
    </row>
    <row r="7" spans="1:3" x14ac:dyDescent="0.3">
      <c r="A7" t="s">
        <v>86</v>
      </c>
      <c r="B7" t="s">
        <v>87</v>
      </c>
      <c r="C7">
        <v>9</v>
      </c>
    </row>
    <row r="8" spans="1:3" x14ac:dyDescent="0.3">
      <c r="A8" t="s">
        <v>84</v>
      </c>
      <c r="B8" t="s">
        <v>91</v>
      </c>
      <c r="C8">
        <v>1</v>
      </c>
    </row>
    <row r="9" spans="1:3" x14ac:dyDescent="0.3">
      <c r="A9" t="s">
        <v>39</v>
      </c>
      <c r="B9" t="s">
        <v>40</v>
      </c>
      <c r="C9">
        <v>4</v>
      </c>
    </row>
    <row r="10" spans="1:3" x14ac:dyDescent="0.3">
      <c r="A10" t="s">
        <v>43</v>
      </c>
      <c r="B10" t="s">
        <v>44</v>
      </c>
      <c r="C10">
        <v>7</v>
      </c>
    </row>
    <row r="11" spans="1:3" x14ac:dyDescent="0.3">
      <c r="A11" t="s">
        <v>93</v>
      </c>
      <c r="B11" t="s">
        <v>36</v>
      </c>
      <c r="C11">
        <v>7</v>
      </c>
    </row>
    <row r="12" spans="1:3" x14ac:dyDescent="0.3">
      <c r="A12" t="s">
        <v>41</v>
      </c>
      <c r="B12" t="s">
        <v>42</v>
      </c>
      <c r="C12">
        <v>6</v>
      </c>
    </row>
    <row r="13" spans="1:3" x14ac:dyDescent="0.3">
      <c r="A13" t="s">
        <v>94</v>
      </c>
      <c r="B13" t="s">
        <v>34</v>
      </c>
      <c r="C13">
        <v>4</v>
      </c>
    </row>
    <row r="14" spans="1:3" x14ac:dyDescent="0.3">
      <c r="A14" t="s">
        <v>47</v>
      </c>
      <c r="B14" t="s">
        <v>48</v>
      </c>
      <c r="C14">
        <v>3</v>
      </c>
    </row>
    <row r="15" spans="1:3" x14ac:dyDescent="0.3">
      <c r="A15" t="s">
        <v>45</v>
      </c>
      <c r="B15" t="s">
        <v>46</v>
      </c>
      <c r="C15">
        <v>2</v>
      </c>
    </row>
    <row r="16" spans="1:3" x14ac:dyDescent="0.3">
      <c r="A16" t="s">
        <v>37</v>
      </c>
      <c r="B16" t="s">
        <v>38</v>
      </c>
      <c r="C16">
        <v>17</v>
      </c>
    </row>
    <row r="17" spans="1:3" x14ac:dyDescent="0.3">
      <c r="A17" t="s">
        <v>63</v>
      </c>
      <c r="B17" t="s">
        <v>64</v>
      </c>
      <c r="C17">
        <v>1</v>
      </c>
    </row>
    <row r="18" spans="1:3" x14ac:dyDescent="0.3">
      <c r="A18" t="s">
        <v>80</v>
      </c>
      <c r="B18" t="s">
        <v>81</v>
      </c>
      <c r="C18">
        <v>1</v>
      </c>
    </row>
    <row r="19" spans="1:3" x14ac:dyDescent="0.3">
      <c r="A19" t="s">
        <v>77</v>
      </c>
      <c r="B19" t="s">
        <v>78</v>
      </c>
      <c r="C19">
        <v>2</v>
      </c>
    </row>
    <row r="20" spans="1:3" x14ac:dyDescent="0.3">
      <c r="A20" t="s">
        <v>92</v>
      </c>
      <c r="C20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8ca9d752a4c0dc64b0e9f8fec1287216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44df65d66812100cc131f201f95b4a4f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Props1.xml><?xml version="1.0" encoding="utf-8"?>
<ds:datastoreItem xmlns:ds="http://schemas.openxmlformats.org/officeDocument/2006/customXml" ds:itemID="{4CDAC51C-A9B5-41B1-856E-1E99A8E13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9462c-4dd8-41ee-a4f7-a595d1f86463"/>
    <ds:schemaRef ds:uri="abe85fc7-dbdb-43bd-8d98-bf7ed6671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312595-F516-4C60-A39F-794E3188AD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A6D59-5307-4083-AB86-9AC932E4FFC7}">
  <ds:schemaRefs>
    <ds:schemaRef ds:uri="abe85fc7-dbdb-43bd-8d98-bf7ed6671d84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c69462c-4dd8-41ee-a4f7-a595d1f86463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072e518d-1891-41a5-be77-916c6272771a}" enabled="0" method="" siteId="{072e518d-1891-41a5-be77-916c62727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BoQ</vt:lpstr>
      <vt:lpstr>BoQ (V1) </vt:lpstr>
      <vt:lpstr>Sheet3</vt:lpstr>
      <vt:lpstr>BoQ!Print_Area</vt:lpstr>
      <vt:lpstr>'BoQ (V1)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Hamdy</dc:creator>
  <cp:keywords/>
  <dc:description/>
  <cp:lastModifiedBy>Mothana Almanaseer</cp:lastModifiedBy>
  <cp:revision/>
  <cp:lastPrinted>2025-06-18T14:37:02Z</cp:lastPrinted>
  <dcterms:created xsi:type="dcterms:W3CDTF">2014-12-08T07:38:15Z</dcterms:created>
  <dcterms:modified xsi:type="dcterms:W3CDTF">2026-02-24T10:30:53Z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
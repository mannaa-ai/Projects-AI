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mat.sharepoint.com/sites/MinistryofTourismTeam/Shared Documents/Proposals/2- تم التقديم/هيئة المساحة الجيولوجية/ملفات المشروع/"/>
    </mc:Choice>
  </mc:AlternateContent>
  <xr:revisionPtr revIDLastSave="64" documentId="8_{2CCB4116-57ED-4651-BBC5-1AF61C70D252}" xr6:coauthVersionLast="47" xr6:coauthVersionMax="47" xr10:uidLastSave="{AAC922C4-8B93-4F71-8088-744181BF911C}"/>
  <bookViews>
    <workbookView minimized="1" xWindow="7032" yWindow="7032" windowWidth="17280" windowHeight="9960" xr2:uid="{AB5910E6-2699-413A-B8F0-20B6C01674C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0" i="1" s="1"/>
  <c r="F21" i="1" s="1"/>
  <c r="I19" i="1"/>
  <c r="I20" i="1" s="1"/>
  <c r="H19" i="1"/>
  <c r="H20" i="1"/>
  <c r="G4" i="1"/>
  <c r="H4" i="1" s="1"/>
  <c r="E19" i="1" l="1"/>
</calcChain>
</file>

<file path=xl/sharedStrings.xml><?xml version="1.0" encoding="utf-8"?>
<sst xmlns="http://schemas.openxmlformats.org/spreadsheetml/2006/main" count="40" uniqueCount="27">
  <si>
    <t>مهندس مقيم</t>
  </si>
  <si>
    <t>بكالوريوس وأعلى</t>
  </si>
  <si>
    <t>مسمى الوظيفة</t>
  </si>
  <si>
    <t xml:space="preserve"> المؤهل العلمي</t>
  </si>
  <si>
    <t xml:space="preserve">الرقم </t>
  </si>
  <si>
    <t xml:space="preserve"> الحد الأدنى لسنوات الخبر ة</t>
  </si>
  <si>
    <t>5 سنوات في إدارة مشاريع مماثلة</t>
  </si>
  <si>
    <t>استشاري تقنية معلومات والتحول الرقمي</t>
  </si>
  <si>
    <t>10 سنوات في إدارة مشاريع مماثلة</t>
  </si>
  <si>
    <t>خبير في استراتيجية وحوكمة التحول الرقمي</t>
  </si>
  <si>
    <t>خبير إدارة مخاطر واستمرارية أعمال</t>
  </si>
  <si>
    <t>خبير إدارة خدمات تقنية المعلومات</t>
  </si>
  <si>
    <t>خبير خدمات رقمية</t>
  </si>
  <si>
    <t>خبير تجربة المستفيذ الرقمية</t>
  </si>
  <si>
    <t>خبير التقنيات الناشئة والحلول الإبتكارية الإبداعية</t>
  </si>
  <si>
    <t>خبير إدارة وحوكمة البيانات</t>
  </si>
  <si>
    <t>خبير بنية مؤسسية</t>
  </si>
  <si>
    <t>3 سنوات في الحوكمة الرقمية</t>
  </si>
  <si>
    <t>3 سنوات في إدارة المخاطر</t>
  </si>
  <si>
    <t>3 سنوات في إدارة تقنية المعلومات</t>
  </si>
  <si>
    <t>3 سنوات في الخدمات الرقمية</t>
  </si>
  <si>
    <t>3 سنوات في البنية المؤسسية</t>
  </si>
  <si>
    <t>3 سنوات في إدارة المستفيد الرقمية</t>
  </si>
  <si>
    <t>3 سنوات في إدارة الحلول الابتكارية والإبداعية</t>
  </si>
  <si>
    <t>3 سنوات في إدارة حوكمة البيانات</t>
  </si>
  <si>
    <t>جدول مواصفات فريق عمل المشروع المقيم داخل الهيئة</t>
  </si>
  <si>
    <t>جدول مواصفات فريق الخبراء ولا يشترط تواجدهم في مقر العمل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</si>
</sst>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5"/>
      <color theme="1"/>
      <name val="Arial"/>
      <family val="2"/>
      <scheme val="minor"/>
    </font>
    <font>
      <b/>
      <sz val="15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readingOrder="2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314C-26A2-4945-8A12-8098C5DBD094}">
  <dimension ref="A1:I21"/>
  <sheetViews>
    <sheetView rightToLeft="1" tabSelected="1" workbookViewId="0">
      <selection activeCell="F21" sqref="F21"/>
    </sheetView>
  </sheetViews>
  <sheetFormatPr defaultRowHeight="13.8" x14ac:dyDescent="0.25"/>
  <cols>
    <col min="2" max="2" width="45.8984375" customWidth="1"/>
    <col min="3" max="3" width="27.69921875" customWidth="1"/>
    <col min="4" max="4" width="38.8984375" bestFit="1" customWidth="1"/>
  </cols>
  <sheetData>
    <row r="1" spans="1:8" ht="18.600000000000001" x14ac:dyDescent="0.3">
      <c r="A1" s="5" t="s">
        <v>25</v>
      </c>
      <c r="B1" s="5"/>
      <c r="C1" s="5"/>
      <c r="D1" s="5"/>
    </row>
    <row r="2" spans="1:8" ht="18.600000000000001" x14ac:dyDescent="0.3">
      <c r="A2" s="1"/>
      <c r="B2" s="1"/>
      <c r="C2" s="1"/>
      <c r="D2" s="1"/>
    </row>
    <row r="3" spans="1:8" ht="19.2" x14ac:dyDescent="0.35">
      <c r="A3" s="2" t="s">
        <v>4</v>
      </c>
      <c r="B3" s="2" t="s">
        <v>2</v>
      </c>
      <c r="C3" s="2" t="s">
        <v>3</v>
      </c>
      <c r="D3" s="2" t="s">
        <v>5</v>
      </c>
    </row>
    <row r="4" spans="1:8" ht="18.600000000000001" x14ac:dyDescent="0.3">
      <c r="A4" s="1">
        <v>1</v>
      </c>
      <c r="B4" s="1" t="s">
        <v>0</v>
      </c>
      <c r="C4" s="3" t="s">
        <v>1</v>
      </c>
      <c r="D4" s="4" t="s">
        <v>6</v>
      </c>
      <c r="F4">
        <v>25000</v>
      </c>
      <c r="G4">
        <f>SUM(F4:F5)</f>
        <v>55000</v>
      </c>
      <c r="H4">
        <f>G4*18</f>
        <v>990000</v>
      </c>
    </row>
    <row r="5" spans="1:8" ht="18.600000000000001" x14ac:dyDescent="0.3">
      <c r="A5" s="1">
        <v>2</v>
      </c>
      <c r="B5" s="1" t="s">
        <v>7</v>
      </c>
      <c r="C5" s="1" t="s">
        <v>1</v>
      </c>
      <c r="D5" s="1" t="s">
        <v>8</v>
      </c>
      <c r="F5">
        <v>30000</v>
      </c>
    </row>
    <row r="6" spans="1:8" ht="18.600000000000001" x14ac:dyDescent="0.3">
      <c r="A6" s="1"/>
      <c r="B6" s="1"/>
      <c r="C6" s="1"/>
      <c r="D6" s="1"/>
    </row>
    <row r="7" spans="1:8" ht="18.600000000000001" x14ac:dyDescent="0.3">
      <c r="A7" s="5" t="s">
        <v>26</v>
      </c>
      <c r="B7" s="5"/>
      <c r="C7" s="5"/>
      <c r="D7" s="5"/>
    </row>
    <row r="8" spans="1:8" ht="19.2" x14ac:dyDescent="0.35">
      <c r="A8" s="2" t="s">
        <v>4</v>
      </c>
      <c r="B8" s="2" t="s">
        <v>2</v>
      </c>
      <c r="C8" s="2" t="s">
        <v>3</v>
      </c>
      <c r="D8" s="2" t="s">
        <v>5</v>
      </c>
    </row>
    <row r="9" spans="1:8" ht="18.600000000000001" x14ac:dyDescent="0.3">
      <c r="A9" s="1">
        <v>1</v>
      </c>
      <c r="B9" s="1" t="s">
        <v>9</v>
      </c>
      <c r="C9" s="3" t="s">
        <v>1</v>
      </c>
      <c r="D9" s="4" t="s">
        <v>17</v>
      </c>
      <c r="F9">
        <v>15000</v>
      </c>
    </row>
    <row r="10" spans="1:8" ht="18.600000000000001" x14ac:dyDescent="0.3">
      <c r="A10" s="1">
        <v>2</v>
      </c>
      <c r="B10" s="1" t="s">
        <v>10</v>
      </c>
      <c r="C10" s="3" t="s">
        <v>1</v>
      </c>
      <c r="D10" s="4" t="s">
        <v>18</v>
      </c>
      <c r="F10">
        <v>12000</v>
      </c>
    </row>
    <row r="11" spans="1:8" ht="18" customHeight="1" x14ac:dyDescent="0.3">
      <c r="A11" s="1">
        <v>3</v>
      </c>
      <c r="B11" s="1" t="s">
        <v>11</v>
      </c>
      <c r="C11" s="3" t="s">
        <v>1</v>
      </c>
      <c r="D11" s="4" t="s">
        <v>19</v>
      </c>
      <c r="F11">
        <v>13000</v>
      </c>
    </row>
    <row r="12" spans="1:8" ht="18.600000000000001" x14ac:dyDescent="0.3">
      <c r="A12" s="1">
        <v>4</v>
      </c>
      <c r="B12" s="1" t="s">
        <v>12</v>
      </c>
      <c r="C12" s="3" t="s">
        <v>1</v>
      </c>
      <c r="D12" s="4" t="s">
        <v>20</v>
      </c>
      <c r="F12">
        <v>10000</v>
      </c>
    </row>
    <row r="13" spans="1:8" ht="18.600000000000001" x14ac:dyDescent="0.3">
      <c r="A13" s="1">
        <v>5</v>
      </c>
      <c r="B13" s="1" t="s">
        <v>13</v>
      </c>
      <c r="C13" s="3" t="s">
        <v>1</v>
      </c>
      <c r="D13" s="4" t="s">
        <v>22</v>
      </c>
      <c r="F13">
        <v>10000</v>
      </c>
    </row>
    <row r="14" spans="1:8" ht="18.600000000000001" x14ac:dyDescent="0.3">
      <c r="A14" s="1">
        <v>6</v>
      </c>
      <c r="B14" s="1" t="s">
        <v>14</v>
      </c>
      <c r="C14" s="3" t="s">
        <v>1</v>
      </c>
      <c r="D14" s="4" t="s">
        <v>23</v>
      </c>
      <c r="F14">
        <v>10000</v>
      </c>
    </row>
    <row r="15" spans="1:8" ht="18.600000000000001" x14ac:dyDescent="0.3">
      <c r="A15" s="1">
        <v>7</v>
      </c>
      <c r="B15" s="1" t="s">
        <v>15</v>
      </c>
      <c r="C15" s="3" t="s">
        <v>1</v>
      </c>
      <c r="D15" s="4" t="s">
        <v>24</v>
      </c>
      <c r="F15">
        <v>12000</v>
      </c>
    </row>
    <row r="16" spans="1:8" ht="18.600000000000001" x14ac:dyDescent="0.3">
      <c r="A16" s="1">
        <v>8</v>
      </c>
      <c r="B16" s="1" t="s">
        <v>16</v>
      </c>
      <c r="C16" s="3" t="s">
        <v>1</v>
      </c>
      <c r="D16" s="4" t="s">
        <v>21</v>
      </c>
      <c r="F16">
        <v>10000</v>
      </c>
    </row>
    <row r="17" spans="1:9" ht="18.600000000000001" x14ac:dyDescent="0.3">
      <c r="A17" s="1"/>
      <c r="B17" s="1"/>
      <c r="C17" s="1"/>
      <c r="D17" s="1"/>
    </row>
    <row r="19" spans="1:9" x14ac:dyDescent="0.25">
      <c r="E19">
        <f>SUM(F19,G4)</f>
        <v>147000</v>
      </c>
      <c r="F19">
        <f>SUM(F9:F16)</f>
        <v>92000</v>
      </c>
      <c r="H19">
        <f>SUM(F9,F10,F14,F15)</f>
        <v>49000</v>
      </c>
      <c r="I19">
        <f>SUM(H4,H19)</f>
        <v>1039000</v>
      </c>
    </row>
    <row r="20" spans="1:9" x14ac:dyDescent="0.25">
      <c r="F20">
        <f>F19*12</f>
        <v>1104000</v>
      </c>
      <c r="H20">
        <f>H19*18</f>
        <v>882000</v>
      </c>
      <c r="I20">
        <f>I19*18</f>
        <v>18702000</v>
      </c>
    </row>
    <row r="21" spans="1:9" x14ac:dyDescent="0.25">
      <c r="F21">
        <f>SUM(H4,F20)</f>
        <v>2094000</v>
      </c>
    </row>
  </sheetData>
  <mergeCells count="2">
    <mergeCell ref="A1:D1"/>
    <mergeCell ref="A7:D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69462c-4dd8-41ee-a4f7-a595d1f86463">
      <Terms xmlns="http://schemas.microsoft.com/office/infopath/2007/PartnerControls"/>
    </lcf76f155ced4ddcb4097134ff3c332f>
    <TaxCatchAll xmlns="abe85fc7-dbdb-43bd-8d98-bf7ed6671d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415EA0A1C59346BCAF8C0E038F3677" ma:contentTypeVersion="11" ma:contentTypeDescription="Create a new document." ma:contentTypeScope="" ma:versionID="8ca9d752a4c0dc64b0e9f8fec1287216">
  <xsd:schema xmlns:xsd="http://www.w3.org/2001/XMLSchema" xmlns:xs="http://www.w3.org/2001/XMLSchema" xmlns:p="http://schemas.microsoft.com/office/2006/metadata/properties" xmlns:ns2="fc69462c-4dd8-41ee-a4f7-a595d1f86463" xmlns:ns3="abe85fc7-dbdb-43bd-8d98-bf7ed6671d84" targetNamespace="http://schemas.microsoft.com/office/2006/metadata/properties" ma:root="true" ma:fieldsID="44df65d66812100cc131f201f95b4a4f" ns2:_="" ns3:_="">
    <xsd:import namespace="fc69462c-4dd8-41ee-a4f7-a595d1f86463"/>
    <xsd:import namespace="abe85fc7-dbdb-43bd-8d98-bf7ed6671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9462c-4dd8-41ee-a4f7-a595d1f86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a866dd-ae1d-4e84-bbff-321554d309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85fc7-dbdb-43bd-8d98-bf7ed6671d8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49e393d-269d-492f-a6a8-899186d017e4}" ma:internalName="TaxCatchAll" ma:showField="CatchAllData" ma:web="abe85fc7-dbdb-43bd-8d98-bf7ed6671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5A16E4-241B-4B5D-BA4B-5F5D0461F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8B5B4B-FAEF-467E-8824-AFA0C144DD33}">
  <ds:schemaRefs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fc69462c-4dd8-41ee-a4f7-a595d1f86463"/>
    <ds:schemaRef ds:uri="abe85fc7-dbdb-43bd-8d98-bf7ed6671d84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DC674B0-A531-4248-8D2E-1EF96A7F54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</dc:creator>
  <cp:lastModifiedBy>Weiam Abdullah</cp:lastModifiedBy>
  <dcterms:created xsi:type="dcterms:W3CDTF">2025-12-22T09:22:53Z</dcterms:created>
  <dcterms:modified xsi:type="dcterms:W3CDTF">2026-01-12T20:34:00Z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0x01010032415EA0A1C59346BCAF8C0E038F3677</vt:lpwstr>
  </property>
  <property fmtid="{D5CDD505-2E9C-101B-9397-08002B2CF9AE}" pid="3" name="MediaServiceImageTags">
    <vt:lpwstr/>
  </property>
</Properties>
</file>
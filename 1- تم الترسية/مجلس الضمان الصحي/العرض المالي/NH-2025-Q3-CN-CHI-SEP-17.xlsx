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connections.xml" ContentType="application/vnd.openxmlformats-officedocument.spreadsheetml.connection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anmat-my.sharepoint.com/personal/mohamed_ali_anmat_sa/Documents/Tenders/مجلس الضمان الصحي/العرض المالي/"/>
    </mc:Choice>
  </mc:AlternateContent>
  <xr:revisionPtr revIDLastSave="220" documentId="13_ncr:1_{5373D0B4-D527-467E-A850-7E08F6A1D145}" xr6:coauthVersionLast="47" xr6:coauthVersionMax="47" xr10:uidLastSave="{D2A5B66E-B646-4F43-95DE-E676354D52B4}"/>
  <bookViews>
    <workbookView xWindow="-120" yWindow="-120" windowWidth="29040" windowHeight="17520" firstSheet="1" activeTab="1" xr2:uid="{00000000-000D-0000-FFFF-FFFF00000000}"/>
  </bookViews>
  <sheets>
    <sheet name="BoQ" sheetId="5" state="hidden" r:id="rId1"/>
    <sheet name="BoQ (V1) " sheetId="11" r:id="rId2"/>
    <sheet name="Sheet3" sheetId="8" state="hidden" r:id="rId3"/>
  </sheets>
  <externalReferences>
    <externalReference r:id="rId4"/>
    <externalReference r:id="rId5"/>
    <externalReference r:id="rId6"/>
    <externalReference r:id="rId7"/>
    <externalReference r:id="rId8"/>
  </externalReferences>
  <definedNames>
    <definedName name="_xlnm._FilterDatabase" localSheetId="0" hidden="1">BoQ!$A$10:$F$75</definedName>
    <definedName name="_xlnm._FilterDatabase" localSheetId="1" hidden="1">'BoQ (V1) '!$A$10:$P$25</definedName>
    <definedName name="_xlcn.WorksheetConnection_BoQV2B10D701" hidden="1">'[1]BoQ (V2)'!$B$10:$D$150</definedName>
    <definedName name="BILL_TO_ADDRESS" localSheetId="0">'[2]MIS-02 (working)'!#REF!</definedName>
    <definedName name="BILL_TO_ADDRESS" localSheetId="1">'[2]MIS-02 (working)'!#REF!</definedName>
    <definedName name="BILL_TO_ADDRESS">'[2]MIS-02 (working)'!#REF!</definedName>
    <definedName name="BILL_TO_NAME" localSheetId="0">'[2]MIS-02 (working)'!#REF!</definedName>
    <definedName name="BILL_TO_NAME" localSheetId="1">'[2]MIS-02 (working)'!#REF!</definedName>
    <definedName name="BILL_TO_NAME">'[2]MIS-02 (working)'!#REF!</definedName>
    <definedName name="CATEGORY_LIST" localSheetId="0">[3]Control!#REF!</definedName>
    <definedName name="CATEGORY_LIST" localSheetId="1">[3]Control!#REF!</definedName>
    <definedName name="CATEGORY_LIST">#REF!</definedName>
    <definedName name="CFG_SUBTOTAL_ALL">'[2]MIS-02 (working)'!#REF!</definedName>
    <definedName name="CFG_SUBTOTAL_HW">'[2]MIS-02 (working)'!#REF!</definedName>
    <definedName name="CFG_SUBTOTAL_MW">'[2]MIS-02 (working)'!#REF!</definedName>
    <definedName name="CFG_SUBTOTAL_PS">'[2]MIS-02 (working)'!#REF!</definedName>
    <definedName name="CFG_SUBTOTAL_SECTION">'[2]MIS-02 (working)'!#REF!</definedName>
    <definedName name="CFG_SUBTOTAL_SW">'[2]MIS-02 (working)'!#REF!</definedName>
    <definedName name="ConversionRatio">'[4]Main Menu'!$E$8</definedName>
    <definedName name="CSI_SECTION_HW_BOT">'[2]MIS-02 (working)'!#REF!</definedName>
    <definedName name="CSI_SECTION_MW_BOT">'[2]MIS-02 (working)'!#REF!</definedName>
    <definedName name="CSI_SECTION_PS_BOT">'[2]MIS-02 (working)'!#REF!</definedName>
    <definedName name="CSI_SECTION_SW_BOT">'[2]MIS-02 (working)'!#REF!</definedName>
    <definedName name="CSI_SUBTOTAL_HW">'[2]MIS-02 (working)'!#REF!</definedName>
    <definedName name="CSI_SUBTOTAL_MW">'[2]MIS-02 (working)'!#REF!</definedName>
    <definedName name="CSI_SUBTOTAL_PS">'[2]MIS-02 (working)'!#REF!</definedName>
    <definedName name="CSI_SUBTOTAL_SW">'[2]MIS-02 (working)'!#REF!</definedName>
    <definedName name="Currency" localSheetId="0">#REF!</definedName>
    <definedName name="Currency" localSheetId="1">#REF!</definedName>
    <definedName name="Currency">#REF!</definedName>
    <definedName name="CurrencyNote" localSheetId="0">#REF!</definedName>
    <definedName name="CurrencyNote" localSheetId="1">#REF!</definedName>
    <definedName name="CurrencyNote">#REF!</definedName>
    <definedName name="Desc_Hardware" localSheetId="0">#REF!</definedName>
    <definedName name="Desc_Hardware" localSheetId="1">#REF!</definedName>
    <definedName name="Desc_Hardware">#REF!</definedName>
    <definedName name="Desc_Other" localSheetId="0">#REF!</definedName>
    <definedName name="Desc_Other" localSheetId="1">#REF!</definedName>
    <definedName name="Desc_Other">#REF!</definedName>
    <definedName name="Desc_Prerelease" localSheetId="0">#REF!</definedName>
    <definedName name="Desc_Prerelease" localSheetId="1">#REF!</definedName>
    <definedName name="Desc_Prerelease">#REF!</definedName>
    <definedName name="Desc_Promo" localSheetId="0">#REF!</definedName>
    <definedName name="Desc_Promo" localSheetId="1">#REF!</definedName>
    <definedName name="Desc_Promo">#REF!</definedName>
    <definedName name="Desc_Regular" localSheetId="0">#REF!</definedName>
    <definedName name="Desc_Regular" localSheetId="1">#REF!</definedName>
    <definedName name="Desc_Regular">#REF!</definedName>
    <definedName name="Desc_Services" localSheetId="0">#REF!</definedName>
    <definedName name="Desc_Services" localSheetId="1">#REF!</definedName>
    <definedName name="Desc_Services">#REF!</definedName>
    <definedName name="Desc_Upgrades" localSheetId="0">#REF!</definedName>
    <definedName name="Desc_Upgrades" localSheetId="1">#REF!</definedName>
    <definedName name="Desc_Upgrades">#REF!</definedName>
    <definedName name="discount" localSheetId="0">#REF!</definedName>
    <definedName name="discount" localSheetId="1">#REF!</definedName>
    <definedName name="discount">#REF!</definedName>
    <definedName name="DISTRIBUTER_LIST" localSheetId="0">[3]Control!#REF!</definedName>
    <definedName name="DISTRIBUTER_LIST" localSheetId="1">[3]Control!#REF!</definedName>
    <definedName name="DISTRIBUTER_LIST">#REF!</definedName>
    <definedName name="EMC_ADDRESS">'[2]MIS-02 (working)'!#REF!</definedName>
    <definedName name="g" localSheetId="0">#REF!</definedName>
    <definedName name="g" localSheetId="1">#REF!</definedName>
    <definedName name="g">#REF!</definedName>
    <definedName name="INSTALL_AT_ADDRESS">'[2]MIS-02 (working)'!#REF!</definedName>
    <definedName name="INSTALL_AT_NAME">'[2]MIS-02 (working)'!#REF!</definedName>
    <definedName name="Maint_Hardware" localSheetId="0">#REF!</definedName>
    <definedName name="Maint_Hardware" localSheetId="1">#REF!</definedName>
    <definedName name="Maint_Hardware">#REF!</definedName>
    <definedName name="Maint_Other" localSheetId="0">#REF!</definedName>
    <definedName name="Maint_Other" localSheetId="1">#REF!</definedName>
    <definedName name="Maint_Other">#REF!</definedName>
    <definedName name="Maint_Prerelease" localSheetId="0">#REF!</definedName>
    <definedName name="Maint_Prerelease" localSheetId="1">#REF!</definedName>
    <definedName name="Maint_Prerelease">#REF!</definedName>
    <definedName name="Maint_Promo" localSheetId="0">#REF!</definedName>
    <definedName name="Maint_Promo" localSheetId="1">#REF!</definedName>
    <definedName name="Maint_Promo">#REF!</definedName>
    <definedName name="Maint_Regular" localSheetId="0">#REF!</definedName>
    <definedName name="Maint_Regular" localSheetId="1">#REF!</definedName>
    <definedName name="Maint_Regular">#REF!</definedName>
    <definedName name="Maint_Services" localSheetId="0">#REF!</definedName>
    <definedName name="Maint_Services" localSheetId="1">#REF!</definedName>
    <definedName name="Maint_Services">#REF!</definedName>
    <definedName name="Maint_Upgrades" localSheetId="0">#REF!</definedName>
    <definedName name="Maint_Upgrades" localSheetId="1">#REF!</definedName>
    <definedName name="Maint_Upgrades">#REF!</definedName>
    <definedName name="Markup" localSheetId="0">#REF!</definedName>
    <definedName name="Markup" localSheetId="1">#REF!</definedName>
    <definedName name="Markup">#REF!</definedName>
    <definedName name="MISC_SECTION_HW_BOT">'[2]MIS-02 (working)'!#REF!</definedName>
    <definedName name="MISC_SECTION_SW_ALL">'[2]MIS-02 (working)'!#REF!</definedName>
    <definedName name="MISC_SECTION_SW_BOT">'[2]MIS-02 (working)'!#REF!</definedName>
    <definedName name="MISC_SECTION_SW_TOP">'[2]MIS-02 (working)'!#REF!</definedName>
    <definedName name="MISC_SUBTOTAL_HW">'[2]MIS-02 (working)'!#REF!</definedName>
    <definedName name="MISC_SUBTOTAL_PS">'[2]MIS-02 (working)'!#REF!</definedName>
    <definedName name="MISC_SUBTOTAL_SW">'[2]MIS-02 (working)'!#REF!</definedName>
    <definedName name="NetPrice_Hardware" localSheetId="0">#REF!</definedName>
    <definedName name="NetPrice_Hardware" localSheetId="1">#REF!</definedName>
    <definedName name="NetPrice_Hardware">#REF!</definedName>
    <definedName name="NetPrice_Other" localSheetId="0">#REF!</definedName>
    <definedName name="NetPrice_Other" localSheetId="1">#REF!</definedName>
    <definedName name="NetPrice_Other">#REF!</definedName>
    <definedName name="NetPrice_Prerelease" localSheetId="0">#REF!</definedName>
    <definedName name="NetPrice_Prerelease" localSheetId="1">#REF!</definedName>
    <definedName name="NetPrice_Prerelease">#REF!</definedName>
    <definedName name="NetPrice_Promo" localSheetId="0">#REF!</definedName>
    <definedName name="NetPrice_Promo" localSheetId="1">#REF!</definedName>
    <definedName name="NetPrice_Promo">#REF!</definedName>
    <definedName name="NetPrice_Regular" localSheetId="0">#REF!</definedName>
    <definedName name="NetPrice_Regular" localSheetId="1">#REF!</definedName>
    <definedName name="NetPrice_Regular">#REF!</definedName>
    <definedName name="NetPrice_Services" localSheetId="0">#REF!</definedName>
    <definedName name="NetPrice_Services" localSheetId="1">#REF!</definedName>
    <definedName name="NetPrice_Services">#REF!</definedName>
    <definedName name="NetPrice_Upgrades" localSheetId="0">#REF!</definedName>
    <definedName name="NetPrice_Upgrades" localSheetId="1">#REF!</definedName>
    <definedName name="NetPrice_Upgrades">#REF!</definedName>
    <definedName name="One_Time_Discount" localSheetId="0">#REF!</definedName>
    <definedName name="One_Time_Discount" localSheetId="1">#REF!</definedName>
    <definedName name="One_Time_Discount">#REF!</definedName>
    <definedName name="Percentage" localSheetId="0">#REF!</definedName>
    <definedName name="Percentage" localSheetId="1">#REF!</definedName>
    <definedName name="Percentage">#REF!</definedName>
    <definedName name="PRECONTRACT_FLD_CFG_NAME">'[2]MIS-02 (working)'!#REF!</definedName>
    <definedName name="PRECONTRACT_FLD_CSI_DESCIPTION">'[2]MIS-02 (working)'!#REF!</definedName>
    <definedName name="PRECONTRACT_FLD_CSI_NAME">'[2]MIS-02 (working)'!#REF!</definedName>
    <definedName name="PRECONTRACT_LINE">'[2]MIS-02 (working)'!#REF!</definedName>
    <definedName name="PRECONTRACT_SECTION_CFG_TITLE">'[2]MIS-02 (working)'!#REF!</definedName>
    <definedName name="PRECONTRACT_SECTION_CSI">'[2]MIS-02 (working)'!#REF!</definedName>
    <definedName name="pricing">'[5]Quote Sheet'!$A$9:$S$74</definedName>
    <definedName name="_xlnm.Print_Area" localSheetId="0">BoQ!$A$1:$F$9</definedName>
    <definedName name="_xlnm.Print_Area" localSheetId="1">'BoQ (V1) '!$A$1:$P$9</definedName>
    <definedName name="PROPOSAL_SECTION">'[2]MIS-02 (working)'!#REF!</definedName>
    <definedName name="PROPOSAL_SECTION_MW">'[2]MIS-02 (working)'!#REF!</definedName>
    <definedName name="PROPOSAL_SUBTOTAL_HW">'[2]MIS-02 (working)'!#REF!</definedName>
    <definedName name="PROPOSAL_SUBTOTAL_MW_HW">'[2]MIS-02 (working)'!#REF!</definedName>
    <definedName name="PROPOSAL_SUBTOTAL_MW_SW">'[2]MIS-02 (working)'!#REF!</definedName>
    <definedName name="PROPOSAL_SUBTOTAL_MW_WAR">'[2]MIS-02 (working)'!#REF!</definedName>
    <definedName name="PROPOSAL_SUBTOTAL_PS">'[2]MIS-02 (working)'!#REF!</definedName>
    <definedName name="PROPOSAL_SUBTOTAL_SW">'[2]MIS-02 (working)'!#REF!</definedName>
    <definedName name="Qty_Hardware" localSheetId="0">#REF!</definedName>
    <definedName name="Qty_Hardware" localSheetId="1">#REF!</definedName>
    <definedName name="Qty_Hardware">#REF!</definedName>
    <definedName name="Qty_Other" localSheetId="0">#REF!</definedName>
    <definedName name="Qty_Other" localSheetId="1">#REF!</definedName>
    <definedName name="Qty_Other">#REF!</definedName>
    <definedName name="Qty_Prerelease" localSheetId="0">#REF!</definedName>
    <definedName name="Qty_Prerelease" localSheetId="1">#REF!</definedName>
    <definedName name="Qty_Prerelease">#REF!</definedName>
    <definedName name="Qty_Promo" localSheetId="0">#REF!</definedName>
    <definedName name="Qty_Promo" localSheetId="1">#REF!</definedName>
    <definedName name="Qty_Promo">#REF!</definedName>
    <definedName name="Qty_Regular" localSheetId="0">#REF!</definedName>
    <definedName name="Qty_Regular" localSheetId="1">#REF!</definedName>
    <definedName name="Qty_Regular">#REF!</definedName>
    <definedName name="Qty_Services" localSheetId="0">#REF!</definedName>
    <definedName name="Qty_Services" localSheetId="1">#REF!</definedName>
    <definedName name="Qty_Services">#REF!</definedName>
    <definedName name="Qty_Upgrades" localSheetId="0">#REF!</definedName>
    <definedName name="Qty_Upgrades" localSheetId="1">#REF!</definedName>
    <definedName name="Qty_Upgrades">#REF!</definedName>
    <definedName name="Qty1_Customer_Name" localSheetId="0">#REF!</definedName>
    <definedName name="Qty1_Customer_Name" localSheetId="1">#REF!</definedName>
    <definedName name="Qty1_Customer_Name">#REF!</definedName>
    <definedName name="Qty1_Date" localSheetId="0">#REF!</definedName>
    <definedName name="Qty1_Date" localSheetId="1">#REF!</definedName>
    <definedName name="Qty1_Date">#REF!</definedName>
    <definedName name="QtyAdd_Customer_Name" localSheetId="0">#REF!</definedName>
    <definedName name="QtyAdd_Customer_Name" localSheetId="1">#REF!</definedName>
    <definedName name="QtyAdd_Customer_Name">#REF!</definedName>
    <definedName name="QtyAdd_Date" localSheetId="0">#REF!</definedName>
    <definedName name="QtyAdd_Date" localSheetId="1">#REF!</definedName>
    <definedName name="QtyAdd_Date">#REF!</definedName>
    <definedName name="REPORT_LINES_TO_FORMAT">'[2]MIS-02 (working)'!#REF!</definedName>
    <definedName name="REPORT_LINES_TO_FORMAT0">'[2]MIS-02 (working)'!#REF!</definedName>
    <definedName name="REPORT_TOTALS_TO_FORMAT" localSheetId="0">'[2]MIS-02 (working)'!#REF!,'[2]MIS-02 (working)'!#REF!</definedName>
    <definedName name="REPORT_TOTALS_TO_FORMAT" localSheetId="1">'[2]MIS-02 (working)'!#REF!,'[2]MIS-02 (working)'!#REF!</definedName>
    <definedName name="REPORT_TOTALS_TO_FORMAT">'[2]MIS-02 (working)'!#REF!,'[2]MIS-02 (working)'!#REF!</definedName>
    <definedName name="REPORT_TOTALS_TO_FORMAT0">'[2]MIS-02 (working)'!#REF!</definedName>
    <definedName name="REPORT_TOTALS_TO_FORMAT1">'[2]MIS-02 (working)'!#REF!</definedName>
    <definedName name="REPORT_TOTALS_TO_FORMAT2">'[2]MIS-02 (working)'!#REF!</definedName>
    <definedName name="REPORT_TOTALS_TO_FORMAT3">'[2]MIS-02 (working)'!#REF!</definedName>
    <definedName name="REPORT_TOTALS_TO_FORMAT4">'[2]MIS-02 (working)'!#REF!</definedName>
    <definedName name="REPORT_TOTALS_TO_FORMAT5">'[2]MIS-02 (working)'!#REF!</definedName>
    <definedName name="Resource_Cost" localSheetId="0">#REF!</definedName>
    <definedName name="Resource_Cost" localSheetId="1">#REF!</definedName>
    <definedName name="Resource_Cost">#REF!</definedName>
    <definedName name="ServiceCode">[4]Service!$A:$A</definedName>
    <definedName name="ServiceModel">#REF!</definedName>
    <definedName name="SHIP_TO_ADDRESS">'[2]MIS-02 (working)'!#REF!</definedName>
    <definedName name="SHIP_TO_NAME">'[2]MIS-02 (working)'!#REF!</definedName>
    <definedName name="Singapore_Dollars_Rate" localSheetId="0">#REF!</definedName>
    <definedName name="Singapore_Dollars_Rate" localSheetId="1">#REF!</definedName>
    <definedName name="Singapore_Dollars_Rate">#REF!</definedName>
    <definedName name="SOLD_TO_ADDRESS">'[2]MIS-02 (working)'!#REF!</definedName>
    <definedName name="SOLD_TO_NAME">'[2]MIS-02 (working)'!#REF!</definedName>
    <definedName name="Subtotal_Ext_List_Price" localSheetId="0">#REF!</definedName>
    <definedName name="Subtotal_Ext_List_Price" localSheetId="1">#REF!</definedName>
    <definedName name="Subtotal_Ext_List_Price">#REF!</definedName>
    <definedName name="Subtotal_Ext_Maint_Price" localSheetId="0">#REF!</definedName>
    <definedName name="Subtotal_Ext_Maint_Price" localSheetId="1">#REF!</definedName>
    <definedName name="Subtotal_Ext_Maint_Price">#REF!</definedName>
    <definedName name="SumQtyAdd_Hardware" localSheetId="0">#REF!</definedName>
    <definedName name="SumQtyAdd_Hardware" localSheetId="1">#REF!</definedName>
    <definedName name="SumQtyAdd_Hardware">#REF!</definedName>
    <definedName name="SumQtyAdd_Services" localSheetId="0">#REF!</definedName>
    <definedName name="SumQtyAdd_Services" localSheetId="1">#REF!</definedName>
    <definedName name="SumQtyAdd_Services">#REF!</definedName>
    <definedName name="SumQtyAdd_Software" localSheetId="0">#REF!</definedName>
    <definedName name="SumQtyAdd_Software" localSheetId="1">#REF!</definedName>
    <definedName name="SumQtyAdd_Software">#REF!</definedName>
    <definedName name="TAX_SECTION">'[2]MIS-02 (working)'!#REF!</definedName>
    <definedName name="TRADEIN_SECTION">'[2]MIS-02 (working)'!#REF!</definedName>
    <definedName name="TRADEIN_SECTION_TOTAL">'[2]MIS-02 (working)'!#REF!</definedName>
    <definedName name="Trial_Duration" localSheetId="0">#REF!</definedName>
    <definedName name="Trial_Duration" localSheetId="1">#REF!</definedName>
    <definedName name="Trial_Duration">#REF!</definedName>
    <definedName name="USListPrice">#REF!</definedName>
    <definedName name="ValidTo" localSheetId="0">#REF!</definedName>
    <definedName name="ValidTo" localSheetId="1">#REF!</definedName>
    <definedName name="ValidTo">#REF!</definedName>
    <definedName name="VENDOR_LIST" localSheetId="0">[3]Control!#REF!</definedName>
    <definedName name="VENDOR_LIST" localSheetId="1">[3]Control!#REF!</definedName>
    <definedName name="VENDOR_LIST">#REF!</definedName>
    <definedName name="VolPrice_Hardware" localSheetId="0">#REF!</definedName>
    <definedName name="VolPrice_Hardware" localSheetId="1">#REF!</definedName>
    <definedName name="VolPrice_Hardware">#REF!</definedName>
    <definedName name="VolPrice_Other" localSheetId="0">#REF!</definedName>
    <definedName name="VolPrice_Other" localSheetId="1">#REF!</definedName>
    <definedName name="VolPrice_Other">#REF!</definedName>
    <definedName name="VolPrice_Prerelease" localSheetId="0">#REF!</definedName>
    <definedName name="VolPrice_Prerelease" localSheetId="1">#REF!</definedName>
    <definedName name="VolPrice_Prerelease">#REF!</definedName>
    <definedName name="VolPrice_Promo" localSheetId="0">#REF!</definedName>
    <definedName name="VolPrice_Promo" localSheetId="1">#REF!</definedName>
    <definedName name="VolPrice_Promo">#REF!</definedName>
    <definedName name="VolPrice_Regular" localSheetId="0">#REF!</definedName>
    <definedName name="VolPrice_Regular" localSheetId="1">#REF!</definedName>
    <definedName name="VolPrice_Regular">#REF!</definedName>
    <definedName name="VolPrice_Services" localSheetId="0">#REF!</definedName>
    <definedName name="VolPrice_Services" localSheetId="1">#REF!</definedName>
    <definedName name="VolPrice_Services">#REF!</definedName>
    <definedName name="VolPrice_Upgrades" localSheetId="0">#REF!</definedName>
    <definedName name="VolPrice_Upgrades" localSheetId="1">#REF!</definedName>
    <definedName name="VolPrice_Upgrades">#REF!</definedName>
    <definedName name="Warranty">[4]Service!$E:$E</definedName>
  </definedNames>
  <calcPr calcId="191028"/>
  <pivotCaches>
    <pivotCache cacheId="0" r:id="rId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BoQ (V2)!$B$10:$D$7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11" l="1"/>
  <c r="L18" i="11"/>
  <c r="L16" i="11"/>
  <c r="L14" i="11"/>
  <c r="L12" i="11"/>
  <c r="I21" i="11"/>
  <c r="E21" i="11" s="1"/>
  <c r="F21" i="11" s="1"/>
  <c r="E19" i="11"/>
  <c r="E18" i="11"/>
  <c r="E17" i="11"/>
  <c r="E16" i="11"/>
  <c r="E15" i="11"/>
  <c r="E14" i="11"/>
  <c r="E13" i="11"/>
  <c r="L21" i="11"/>
  <c r="I12" i="11"/>
  <c r="E12" i="11" s="1"/>
  <c r="K24" i="11"/>
  <c r="L24" i="11" s="1"/>
  <c r="I24" i="11"/>
  <c r="K23" i="11"/>
  <c r="L23" i="11" s="1"/>
  <c r="I23" i="11"/>
  <c r="L25" i="11" l="1"/>
  <c r="F23" i="11"/>
  <c r="I25" i="11" l="1"/>
  <c r="F24" i="11"/>
  <c r="F25" i="11" s="1"/>
  <c r="F73" i="5" l="1"/>
  <c r="F74" i="5"/>
  <c r="F7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BoQ (V2)!$B$10:$D$70" type="102" refreshedVersion="8" minRefreshableVersion="5">
    <extLst>
      <ext xmlns:x15="http://schemas.microsoft.com/office/spreadsheetml/2010/11/main" uri="{DE250136-89BD-433C-8126-D09CA5730AF9}">
        <x15:connection id="Range" autoDelete="1">
          <x15:rangePr sourceName="_xlcn.WorksheetConnection_BoQV2B10D701"/>
        </x15:connection>
      </ext>
    </extLst>
  </connection>
</connections>
</file>

<file path=xl/sharedStrings.xml><?xml version="1.0" encoding="utf-8"?>
<sst xmlns="http://schemas.openxmlformats.org/spreadsheetml/2006/main" count="217" uniqueCount="105">
  <si>
    <t>Customer:</t>
  </si>
  <si>
    <t>Sales Order #</t>
  </si>
  <si>
    <t>SR</t>
  </si>
  <si>
    <t>Attention:</t>
  </si>
  <si>
    <t xml:space="preserve">Project Name:                                                                            </t>
  </si>
  <si>
    <t>$ - SR</t>
  </si>
  <si>
    <t>Phone:</t>
  </si>
  <si>
    <t>Date:</t>
  </si>
  <si>
    <t>DISCOUNT</t>
  </si>
  <si>
    <t>Fax:</t>
  </si>
  <si>
    <t>Delivery Time</t>
  </si>
  <si>
    <t>SNT DIS</t>
  </si>
  <si>
    <t>Mobile:</t>
  </si>
  <si>
    <t>Installation Time</t>
  </si>
  <si>
    <t>Email:</t>
  </si>
  <si>
    <t>Collection Time</t>
  </si>
  <si>
    <t>SN</t>
  </si>
  <si>
    <t>PART NUMBER</t>
  </si>
  <si>
    <t>DESCRIPTION</t>
  </si>
  <si>
    <t>QTY</t>
  </si>
  <si>
    <t>UNIT PRICE</t>
  </si>
  <si>
    <t>TOTAL PRICE</t>
  </si>
  <si>
    <t>%</t>
  </si>
  <si>
    <t>GPL</t>
  </si>
  <si>
    <t>U-COST</t>
  </si>
  <si>
    <t>T-COST</t>
  </si>
  <si>
    <t>DISC.</t>
  </si>
  <si>
    <t>CAT.</t>
  </si>
  <si>
    <t>DISTI.</t>
  </si>
  <si>
    <t>VENDOR</t>
  </si>
  <si>
    <t>GRAND TOTAL (SR)</t>
  </si>
  <si>
    <t>VAT (15%)</t>
  </si>
  <si>
    <t>GRAND TOTAL WITH VAT</t>
  </si>
  <si>
    <t xml:space="preserve">Logitech
960-001312 </t>
  </si>
  <si>
    <t>WEBCAM - Logitech Rally Bar - GRAPHITE - USB - PLUGG - EMEA-914 - UK/HK</t>
  </si>
  <si>
    <t xml:space="preserve">Logitech
952-000041 </t>
  </si>
  <si>
    <t>TV Mount for Video Bars - N/A - N/A - N/A - WW-9004 - TV MOUNT</t>
  </si>
  <si>
    <t>Logitech
989-000430</t>
  </si>
  <si>
    <t>Rally Mic Pod accessory for the Logitech Rally Ultra-HD ConferenceCam - GRAPHITE - USB - N/A - WW-9004</t>
  </si>
  <si>
    <t>Logitech
939-001647</t>
  </si>
  <si>
    <t>Logitech Rally Mic Pod Hub for the Logitech Rally Ultra-HD ConferenceCam - GRAPHITE - USB - N/A - WW-9004 - MIC SPLITTER</t>
  </si>
  <si>
    <t>Logitech
952-000047</t>
  </si>
  <si>
    <t>Rally Mic Pod Extension Cable - OFF-WHITE - USB - N/A - WW-9004 - 10M EXTENSION CABLE</t>
  </si>
  <si>
    <t>Logitech
939-001950</t>
  </si>
  <si>
    <t>Logitech Tap with Cat5e Kit - NA - USB - N/A - WW-9004 - WITH RAICHU</t>
  </si>
  <si>
    <t>Logitech
960-001510</t>
  </si>
  <si>
    <t>WEBCAM - Logitech Sight - GRAPHITE - USB - N/A - WW-9004 - WEBCAM</t>
  </si>
  <si>
    <t>Logitech
960-001340</t>
  </si>
  <si>
    <t>WEBCAM - Logitech Rally Bar Mini - GRAPHITE - USB - PLUGG - EMEA-914 - UK/HK</t>
  </si>
  <si>
    <t>Jabra
7510-109</t>
  </si>
  <si>
    <t>Jabra SPEAK™ 510 MS Speakerphone for UC &amp; BT, USB Conference solution, 360-degree-microphone, Plug&amp;Play, mute and volume button, Wideband, Bluetooth (up to 100 meters), Microsoft optimized Version B: incl. Smart Button activated via Jabra</t>
  </si>
  <si>
    <t>Jabra
7810-209</t>
  </si>
  <si>
    <t>Jabra SPEAK™ 810 Speakerphone, best in Class Audio Conference Solution for medium sized meeting rooms up to 15 people, USB-BT-3.5mm AUX connections, powerful loudspeaker, ZoomTalk microphones (6), Plug&amp;Play, mute and volume button, USB cha</t>
  </si>
  <si>
    <t xml:space="preserve">1st Meeting Room 1A-01 </t>
  </si>
  <si>
    <t>2nd Meeting Room 1A-02 (15 users)</t>
  </si>
  <si>
    <t>A</t>
  </si>
  <si>
    <t>B</t>
  </si>
  <si>
    <t>3rd Meeting Room 1A-03 (8 users)</t>
  </si>
  <si>
    <t>4th Meeting Room 1A-04 (8 users)</t>
  </si>
  <si>
    <t>5th Meeting Room 1B-01 (15 users)</t>
  </si>
  <si>
    <t>6th Meeting Room 1B-02 (8 users)</t>
  </si>
  <si>
    <t>7th Meeting Room 1B-03 ( 6 users)</t>
  </si>
  <si>
    <t>8th Meeting Room 2B (8 users)</t>
  </si>
  <si>
    <t>Samsung QM75C</t>
  </si>
  <si>
    <t>UHD Signage Display, Slim &amp; Light Signage with Built-in MagicInfo S6, SSSP 6.0
Temperature Sensor,Pivot Display,
Clock Battery(168hrs Clock Keeping),
Built in Speaker(10W 2ch), Video
Wall Daisy Chain(HDCP2.2:4EA,HDCP1.4:
7EA), IP5x Rating, Wi-Fi/BT</t>
  </si>
  <si>
    <t>C</t>
  </si>
  <si>
    <t>D</t>
  </si>
  <si>
    <t>E</t>
  </si>
  <si>
    <t>F</t>
  </si>
  <si>
    <t>Additional Accessories</t>
  </si>
  <si>
    <t>G</t>
  </si>
  <si>
    <t>H</t>
  </si>
  <si>
    <t>J</t>
  </si>
  <si>
    <t>Professonal Services</t>
  </si>
  <si>
    <t>ANMAT - PS</t>
  </si>
  <si>
    <t>System installation, configuration &amp; commissioning without civil works</t>
  </si>
  <si>
    <t>CleverTouch
Pro 98-inch</t>
  </si>
  <si>
    <t>Vogel's PFW 6852</t>
  </si>
  <si>
    <t>Supports displays up to 136 kg (300 lbs). Typically fits displays larger than 40 inches. Extends up to 66 cm from the wall. Allows up to 90° of swivel to both sides. Provides a tilt range of -10° to +10°. Supports landscape orientation. TÜV certified for quality and safety</t>
  </si>
  <si>
    <t>OP1</t>
  </si>
  <si>
    <t>SAMSUNG QM98T</t>
  </si>
  <si>
    <t>98-INCH 60Hz Edge LED BLU, UHD (3840 x 2160), 500 nits, 24/7 operation, Signage Display Slim &amp; Light Signage with Built-in MagicInfo S6, SSSP 6.0, Temperature Sensor,Pivot Display, Clock Battery(168hrs Clock Keeping), Built in Speaker(10W 2ch), Video Wall Daisy Chain(HDCP2.2:4EA,HDCP1.4:7EA), Wi-Fi/BT S/W : Auto Source Switching &amp; Recovery, LFD Home UI, Button Lock, Hot key option, Plug&amp;Play (Initial Setting), 802.1x(WPA2 Enterprise) Certified</t>
  </si>
  <si>
    <t xml:space="preserve">OPS core i7 </t>
  </si>
  <si>
    <t>98 inches with 4K UHD resolution (3840x2160 @60Hz), Android 9, 2 x 16W downward-facing speakers, Multiple USB 3.0 ports, HDMI inputs, and WiFi, Supports up to 50 devices for seamless content sharing with CleverShare, Built-in CleverLive for broadcasting messages and alerts, Dual recognition comfort stylus, room booking system integration, and optional Windows 10 Pro upgrade with Intel® OPS module</t>
  </si>
  <si>
    <t>Logitech 960-001681</t>
  </si>
  <si>
    <r>
      <t xml:space="preserve">WEBCAM - </t>
    </r>
    <r>
      <rPr>
        <b/>
        <sz val="10"/>
        <rFont val="Arial"/>
        <family val="2"/>
      </rPr>
      <t>MeetUp 2</t>
    </r>
    <r>
      <rPr>
        <sz val="10"/>
        <rFont val="Arial"/>
        <family val="2"/>
      </rPr>
      <t xml:space="preserve"> - GRAPHITE - USB 
- PLUGCG - (Do Not Use) WW-9006 - UK/EU</t>
    </r>
  </si>
  <si>
    <t>Logitech 952-000091</t>
  </si>
  <si>
    <t>Logitech Tap Scheduler - GRAPHITE - USB - N/A - WW-9004 - TOUCH SCREEN</t>
  </si>
  <si>
    <t>Extra Room Request</t>
  </si>
  <si>
    <t>Clevercam OPS PC i7- 1260P 16GB 512GB SSD Win11 PRO inc 1Yr RTB</t>
  </si>
  <si>
    <t>Sum of QTY</t>
  </si>
  <si>
    <t>WEBCAM - MeetUp 2 - GRAPHITE - USB 
- PLUGCG - (Do Not Use) WW-9006 - UK/EU</t>
  </si>
  <si>
    <t>Grand Total</t>
  </si>
  <si>
    <t>Logitech
952-000041</t>
  </si>
  <si>
    <t>Logitech
960-001312</t>
  </si>
  <si>
    <t>Customs</t>
  </si>
  <si>
    <t>Service</t>
  </si>
  <si>
    <t>ITEM</t>
  </si>
  <si>
    <t>TOTAL</t>
  </si>
  <si>
    <t>UUNIT</t>
  </si>
  <si>
    <t>#N</t>
  </si>
  <si>
    <t>تقديم خدمات لتقييم الإلتزام والمخاطر للأمن السيبراني</t>
  </si>
  <si>
    <r>
      <rPr>
        <b/>
        <sz val="9"/>
        <color theme="1"/>
        <rFont val="Calibri"/>
        <family val="2"/>
        <scheme val="minor"/>
      </rPr>
      <t xml:space="preserve">ينبغي تقديم الخدمات وفق التالي :
</t>
    </r>
    <r>
      <rPr>
        <sz val="9"/>
        <color theme="1"/>
        <rFont val="Calibri"/>
        <family val="2"/>
        <scheme val="minor"/>
      </rPr>
      <t xml:space="preserve">
1. إجراء تقييم شامل للبنية التحتية السيبرانية وسياسات الأمن السيبراني.
2. تحديد الفجوات ونقاط الضعف في الإلتزام بالمعايير وفقا للضوابط الوطنية.
3. تحليل المخاطر وإجراء التقييمات للأمن السيبراني بنا ء على متطلبات الهيئة الوطنية للأمن السيبراني.
4. تطوير وتحديث سياسات واجراءات الأمن السيبراني لتتوافق مع متطلبات الهيئة الوطنية للأمن السيبراني
والمتطلبات الدولية مثل ال ISO 27001 .
5. الموائمة مع المتطلبات التشريعية مثل متطلبات الهيئة الوطنية للأمن السيبراني ومتطلبات حماية البيانات
الشخصية و مجلس المخاطر الوطني و الهيئة السعودية للبيانات و الذكاء الاصطناعي وغيرها من تشريعات قد
تطرأ.
6. إجراء تقييمات دورية للضوابط ومعايير الامن السيبراني مثل ISO 27001 و NCA .
7. تطوير وتنفيذ تدابير لتعزيز جاهزية الأمن وتقليل التأثير المحتمل للهجمات السيبرانية.
8 . عمل تقارير خارطة طريق للالتزام بجميع التشريعات ضمن نطاق المشروع.
9 . تقديم تقارير دورية توضح مدى التحسن في الإلتزام وجاهزية الأمن السيبراني.
</t>
    </r>
    <r>
      <rPr>
        <b/>
        <sz val="9"/>
        <color theme="1"/>
        <rFont val="Calibri"/>
        <family val="2"/>
        <scheme val="minor"/>
      </rPr>
      <t>يتم تقديم عدد (4) تقارير ربع سنوية بتنفيذ كافة الخدمات محل البند، ينبغي إجازة وإعتماد تنفيذ الخدمات المشار
إليها من قبل الإدارة المعنية بالمشروع ولا يعتد بتسليمها فقط.</t>
    </r>
  </si>
  <si>
    <r>
      <rPr>
        <b/>
        <sz val="9"/>
        <color theme="1"/>
        <rFont val="Calibri"/>
        <family val="2"/>
        <scheme val="minor"/>
      </rPr>
      <t xml:space="preserve">ينبغي تقديم الخدمات وفق التالي :
</t>
    </r>
    <r>
      <rPr>
        <sz val="9"/>
        <color theme="1"/>
        <rFont val="Calibri"/>
        <family val="2"/>
        <scheme val="minor"/>
      </rPr>
      <t xml:space="preserve">
1. تقديم خدمات إستشارية يومية لدعم أنشطة الحوكمة و الإلتزام.
2. إدارة الوثائق والتقارير المتعلقة بأنشطة الحوكمة و الإلتزام.
3 . متابعة تحديث التشريعات واللوائح الجديدة وتضمينها ضمن مكتبة الإلتزام وسياسات وإجراءات المجلس.
4. تنفيذ عمليات تقييم الإلتزام الداخلي وإعداد التقارير الدورية.
5. تقييم مستوى النضج الحالي للحوكمة في المجلس.
6. تقييم مخاطر عدم الإلتزام وتطوير سجلات تفصيلية على مستوى الإدارات.
7. المتابعة مع إدارات المجلس عن حالة تنفيذ التوصيات لتحسين مستوى نضج الإلتزام في المجلس.
8 . تطوير مؤشرات أداء الحوكمة و مؤشرات أداء الإلتزام وقياسها.
9 . ضمان الإلتزام بتطبيق الأنظمة واللوائح الصادرة عن الجهات ذات العلاقة.
10 . إعداد تقرير الحوكمة.
11 . إعداد تقارير دورية عن الإلتزام وأبرز نقاط القوة ومجالات التحسين.
12 . تقديم الدعم الإستشاري المستمر في عمليات التدقيق والفحص المتعلقة بالإلتزام لضمان تنفيذ الإجراءات
بكفاءة.
13 . مراقبة الإلتزام بسياسات وإجراءات الحوكمة على مستوى المجلس.
14 . مراجعة وتحديث سياسة التفويض وجدول الصلاحيات الحالية للمجلس لجميع المستويات داخل أعمال
المجلس.
15 . المتابعة مع إدارات المجلس عن حالة تنفيذ التوصيات لتحسين مستوى نضج الحوكمة.
16 . إدارة التواصل مع الجهات التنظيمية والرقابية لضمان الإلتزام المستمر.
17 . تنفيذ متطلب ات صادرة عن الإدارة العليا بما يتماشى مع نطاق عمل إدارة الحوكمة و الإلتزام.
18 . التحضير لمتطلبات ISO 37000 لضمان مواءمة الممارسات الحوكميّة مع المعايير الدولية.
19 . دعم تنفيذ أعمال اللجان والمجالس الاستشارية من خلال توفير البيانات والتقارير الداعمة لاتخاذ القرار.
20 . تنسيق الاجتماعات الدورية لإدارات الحوكمة والتأكد من متابعة تنفيذ القرارات.
</t>
    </r>
    <r>
      <rPr>
        <b/>
        <sz val="9"/>
        <color theme="1"/>
        <rFont val="Calibri"/>
        <family val="2"/>
        <scheme val="minor"/>
      </rPr>
      <t>يتم تقديم عدد (4) تقارير ربع سنوية بتنفيذ كافة الخدمات محل البند ، ينبغي إجازة وإعتماد تنفيذ الخدمات المشار
إليها من قبل الإدارة المعنية بالمشروع ولا يعتد بتسليمها فقط.</t>
    </r>
  </si>
  <si>
    <t>تقديم خدمات في الحوكمة والإلتزام المؤسسي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</si>
</sst>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 #,##0.00_-;_-* &quot;-&quot;??_-;_-@_-"/>
  </numFmts>
  <fonts count="22" x14ac:knownFonts="1">
    <font>
      <sz val="11"/>
      <color theme="1"/>
      <name val="Calibri"/>
      <family val="2"/>
      <scheme val="minor"/>
    </font>
    <font>
      <sz val="11"/>
      <color theme="1"/>
      <name val="Calibri"/>
      <family val="2"/>
      <scheme val="minor"/>
    </font>
    <font>
      <sz val="10"/>
      <name val="Arial"/>
      <family val="2"/>
    </font>
    <font>
      <b/>
      <sz val="10"/>
      <color theme="1"/>
      <name val="Arial"/>
      <family val="2"/>
    </font>
    <font>
      <b/>
      <sz val="10"/>
      <name val="Arial"/>
      <family val="2"/>
    </font>
    <font>
      <sz val="10"/>
      <color theme="1"/>
      <name val="Arial"/>
      <family val="2"/>
    </font>
    <font>
      <b/>
      <sz val="16"/>
      <name val="Arial"/>
      <family val="2"/>
    </font>
    <font>
      <u/>
      <sz val="7.5"/>
      <color indexed="12"/>
      <name val="Arial"/>
      <family val="2"/>
    </font>
    <font>
      <b/>
      <sz val="11"/>
      <color theme="0"/>
      <name val="Arial"/>
      <family val="2"/>
    </font>
    <font>
      <b/>
      <sz val="10"/>
      <color rgb="FFFF0000"/>
      <name val="Arial"/>
      <family val="2"/>
    </font>
    <font>
      <b/>
      <sz val="10"/>
      <color theme="0"/>
      <name val="Arial"/>
      <family val="2"/>
    </font>
    <font>
      <sz val="11"/>
      <color rgb="FF000000"/>
      <name val="Calibri"/>
      <family val="2"/>
      <scheme val="minor"/>
    </font>
    <font>
      <sz val="11"/>
      <color indexed="8"/>
      <name val="Calibri"/>
      <family val="2"/>
    </font>
    <font>
      <sz val="10"/>
      <name val="Arial"/>
      <family val="2"/>
    </font>
    <font>
      <sz val="9"/>
      <name val="Arial"/>
      <family val="2"/>
    </font>
    <font>
      <sz val="10"/>
      <name val="Arial"/>
      <family val="2"/>
    </font>
    <font>
      <b/>
      <sz val="11"/>
      <color theme="0"/>
      <name val="Arial"/>
      <family val="2"/>
    </font>
    <font>
      <b/>
      <sz val="10"/>
      <name val="Arial"/>
      <family val="2"/>
    </font>
    <font>
      <sz val="9"/>
      <color theme="1"/>
      <name val="Calibri"/>
      <family val="2"/>
      <scheme val="minor"/>
    </font>
    <font>
      <sz val="9"/>
      <name val="Calibri"/>
      <family val="2"/>
      <scheme val="minor"/>
    </font>
    <font>
      <b/>
      <sz val="9"/>
      <name val="Calibri"/>
      <family val="2"/>
      <scheme val="minor"/>
    </font>
    <font>
      <b/>
      <sz val="9"/>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A9FDDD"/>
        <bgColor indexed="64"/>
      </patternFill>
    </fill>
    <fill>
      <patternFill patternType="solid">
        <fgColor theme="9" tint="0.59999389629810485"/>
        <bgColor indexed="64"/>
      </patternFill>
    </fill>
    <fill>
      <patternFill patternType="solid">
        <fgColor rgb="FF156881"/>
        <bgColor indexed="64"/>
      </patternFill>
    </fill>
    <fill>
      <patternFill patternType="solid">
        <fgColor rgb="FFEEB45E"/>
        <bgColor indexed="64"/>
      </patternFill>
    </fill>
    <fill>
      <patternFill patternType="solid">
        <fgColor theme="0" tint="-0.14999847407452621"/>
        <bgColor indexed="64"/>
      </patternFill>
    </fill>
    <fill>
      <patternFill patternType="solid">
        <fgColor rgb="FFFFFFCC"/>
        <bgColor indexed="64"/>
      </patternFill>
    </fill>
    <fill>
      <patternFill patternType="solid">
        <fgColor rgb="FFFF0000"/>
        <bgColor indexed="64"/>
      </patternFill>
    </fill>
    <fill>
      <patternFill patternType="solid">
        <fgColor theme="4" tint="0.59999389629810485"/>
        <bgColor indexed="64"/>
      </patternFill>
    </fill>
  </fills>
  <borders count="25">
    <border>
      <left/>
      <right/>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auto="1"/>
      </right>
      <top style="medium">
        <color auto="1"/>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auto="1"/>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s>
  <cellStyleXfs count="1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43" fontId="2" fillId="0" borderId="0" applyFont="0" applyFill="0" applyBorder="0" applyAlignment="0" applyProtection="0"/>
    <xf numFmtId="0" fontId="7" fillId="0" borderId="0" applyNumberFormat="0" applyFill="0" applyBorder="0" applyAlignment="0" applyProtection="0">
      <alignment vertical="top"/>
      <protection locked="0"/>
    </xf>
    <xf numFmtId="9" fontId="2" fillId="0" borderId="0" applyFont="0" applyFill="0" applyBorder="0" applyAlignment="0" applyProtection="0"/>
    <xf numFmtId="43" fontId="2" fillId="0" borderId="0" applyFont="0" applyFill="0" applyBorder="0" applyAlignment="0" applyProtection="0"/>
    <xf numFmtId="0" fontId="2" fillId="0" borderId="0"/>
    <xf numFmtId="0" fontId="11" fillId="0" borderId="0"/>
    <xf numFmtId="43" fontId="12" fillId="0" borderId="0" applyFont="0" applyFill="0" applyBorder="0" applyAlignment="0" applyProtection="0"/>
    <xf numFmtId="0" fontId="13" fillId="0" borderId="0"/>
    <xf numFmtId="164" fontId="1" fillId="0" borderId="0" applyFont="0" applyFill="0" applyBorder="0" applyAlignment="0" applyProtection="0"/>
    <xf numFmtId="0" fontId="2" fillId="0" borderId="0"/>
  </cellStyleXfs>
  <cellXfs count="121">
    <xf numFmtId="0" fontId="0" fillId="0" borderId="0" xfId="0"/>
    <xf numFmtId="0" fontId="3" fillId="2" borderId="0" xfId="3" applyFont="1" applyFill="1" applyAlignment="1">
      <alignment horizontal="center" vertical="center" wrapText="1"/>
    </xf>
    <xf numFmtId="0" fontId="4" fillId="3" borderId="1" xfId="3" applyFont="1" applyFill="1" applyBorder="1" applyAlignment="1">
      <alignment vertical="center" wrapText="1"/>
    </xf>
    <xf numFmtId="0" fontId="2" fillId="2" borderId="0" xfId="3" applyFill="1" applyAlignment="1">
      <alignment horizontal="center" vertical="center" wrapText="1"/>
    </xf>
    <xf numFmtId="0" fontId="3" fillId="3" borderId="1" xfId="3" applyFont="1" applyFill="1" applyBorder="1" applyAlignment="1">
      <alignment vertical="center" wrapText="1"/>
    </xf>
    <xf numFmtId="43" fontId="4" fillId="4" borderId="5" xfId="4" applyFont="1" applyFill="1" applyBorder="1" applyAlignment="1">
      <alignment horizontal="center" vertical="center" wrapText="1"/>
    </xf>
    <xf numFmtId="0" fontId="2" fillId="2" borderId="6" xfId="3" applyFill="1" applyBorder="1" applyAlignment="1">
      <alignment horizontal="center" vertical="center" wrapText="1"/>
    </xf>
    <xf numFmtId="0" fontId="2" fillId="2" borderId="0" xfId="3" applyFill="1" applyAlignment="1">
      <alignment vertical="center" wrapText="1"/>
    </xf>
    <xf numFmtId="0" fontId="4" fillId="3" borderId="7" xfId="3" applyFont="1" applyFill="1" applyBorder="1" applyAlignment="1">
      <alignment vertical="center" wrapText="1"/>
    </xf>
    <xf numFmtId="0" fontId="3" fillId="3" borderId="7" xfId="3" applyFont="1" applyFill="1" applyBorder="1" applyAlignment="1">
      <alignment vertical="center" wrapText="1"/>
    </xf>
    <xf numFmtId="43" fontId="4" fillId="4" borderId="11" xfId="4" applyFont="1" applyFill="1" applyBorder="1" applyAlignment="1">
      <alignment horizontal="center" vertical="center" wrapText="1"/>
    </xf>
    <xf numFmtId="9" fontId="5" fillId="2" borderId="12" xfId="3" applyNumberFormat="1" applyFont="1" applyFill="1" applyBorder="1" applyAlignment="1">
      <alignment horizontal="center" vertical="center" wrapText="1"/>
    </xf>
    <xf numFmtId="0" fontId="4" fillId="3" borderId="13" xfId="3" applyFont="1" applyFill="1" applyBorder="1" applyAlignment="1">
      <alignment vertical="center" wrapText="1"/>
    </xf>
    <xf numFmtId="0" fontId="3" fillId="3" borderId="13" xfId="3" applyFont="1" applyFill="1" applyBorder="1" applyAlignment="1">
      <alignment vertical="center" wrapText="1"/>
    </xf>
    <xf numFmtId="43" fontId="4" fillId="4" borderId="17" xfId="4" applyFont="1" applyFill="1" applyBorder="1" applyAlignment="1">
      <alignment horizontal="center" vertical="center" wrapText="1"/>
    </xf>
    <xf numFmtId="9" fontId="4" fillId="5" borderId="8" xfId="3" applyNumberFormat="1" applyFont="1" applyFill="1" applyBorder="1" applyAlignment="1">
      <alignment horizontal="center" vertical="center" wrapText="1"/>
    </xf>
    <xf numFmtId="9" fontId="9" fillId="8" borderId="8" xfId="6" applyFont="1" applyFill="1" applyBorder="1" applyAlignment="1">
      <alignment horizontal="center" vertical="center" wrapText="1"/>
    </xf>
    <xf numFmtId="43" fontId="2" fillId="9" borderId="8" xfId="4" applyFont="1" applyFill="1" applyBorder="1" applyAlignment="1">
      <alignment horizontal="right" vertical="center" wrapText="1"/>
    </xf>
    <xf numFmtId="9" fontId="2" fillId="0" borderId="8" xfId="2" applyFont="1" applyFill="1" applyBorder="1" applyAlignment="1">
      <alignment horizontal="center" vertical="center" wrapText="1"/>
    </xf>
    <xf numFmtId="43" fontId="8" fillId="6" borderId="8" xfId="1" applyFont="1" applyFill="1" applyBorder="1" applyAlignment="1">
      <alignment horizontal="center" vertical="center"/>
    </xf>
    <xf numFmtId="0" fontId="2" fillId="2" borderId="0" xfId="3" applyFill="1" applyAlignment="1">
      <alignment vertical="center"/>
    </xf>
    <xf numFmtId="0" fontId="6" fillId="2" borderId="0" xfId="3" applyFont="1" applyFill="1" applyAlignment="1">
      <alignment horizontal="left" vertical="center"/>
    </xf>
    <xf numFmtId="0" fontId="4" fillId="2" borderId="0" xfId="3" applyFont="1" applyFill="1" applyAlignment="1">
      <alignment horizontal="center" vertical="center"/>
    </xf>
    <xf numFmtId="43" fontId="2" fillId="0" borderId="8" xfId="4" applyFont="1" applyFill="1" applyBorder="1" applyAlignment="1">
      <alignment horizontal="center" vertical="center"/>
    </xf>
    <xf numFmtId="10" fontId="5" fillId="2" borderId="12" xfId="3" applyNumberFormat="1" applyFont="1" applyFill="1" applyBorder="1" applyAlignment="1">
      <alignment horizontal="center" vertical="center" wrapText="1"/>
    </xf>
    <xf numFmtId="43" fontId="2" fillId="2" borderId="0" xfId="3" applyNumberFormat="1" applyFill="1" applyAlignment="1">
      <alignment vertical="center" wrapText="1"/>
    </xf>
    <xf numFmtId="43" fontId="2" fillId="2" borderId="8" xfId="4" applyFont="1" applyFill="1" applyBorder="1" applyAlignment="1">
      <alignment horizontal="center" vertical="center" wrapText="1"/>
    </xf>
    <xf numFmtId="0" fontId="2" fillId="2" borderId="0" xfId="3" applyFill="1" applyAlignment="1">
      <alignment horizontal="center" vertical="center"/>
    </xf>
    <xf numFmtId="0" fontId="5" fillId="2" borderId="0" xfId="3" applyFont="1" applyFill="1" applyAlignment="1">
      <alignment horizontal="center" vertical="center"/>
    </xf>
    <xf numFmtId="0" fontId="8" fillId="6" borderId="8" xfId="0" applyFont="1" applyFill="1" applyBorder="1" applyAlignment="1">
      <alignment horizontal="center" vertical="center"/>
    </xf>
    <xf numFmtId="9" fontId="10" fillId="10" borderId="8" xfId="2" applyFont="1" applyFill="1" applyBorder="1" applyAlignment="1">
      <alignment horizontal="center" vertical="center" wrapText="1"/>
    </xf>
    <xf numFmtId="43" fontId="2" fillId="2" borderId="8" xfId="4" applyFont="1" applyFill="1" applyBorder="1" applyAlignment="1">
      <alignment horizontal="right" vertical="center" wrapText="1"/>
    </xf>
    <xf numFmtId="0" fontId="0" fillId="2" borderId="8" xfId="0" applyFill="1" applyBorder="1" applyAlignment="1">
      <alignment horizontal="left" vertical="top" wrapText="1"/>
    </xf>
    <xf numFmtId="0" fontId="2" fillId="2" borderId="8" xfId="3" applyFill="1" applyBorder="1" applyAlignment="1">
      <alignment horizontal="center" vertical="center" wrapText="1"/>
    </xf>
    <xf numFmtId="49" fontId="2" fillId="2" borderId="8" xfId="3" applyNumberFormat="1" applyFill="1" applyBorder="1" applyAlignment="1">
      <alignment horizontal="left" vertical="center" wrapText="1"/>
    </xf>
    <xf numFmtId="49" fontId="2" fillId="2" borderId="8" xfId="3" applyNumberFormat="1" applyFill="1" applyBorder="1" applyAlignment="1">
      <alignment vertical="center" wrapText="1"/>
    </xf>
    <xf numFmtId="0" fontId="8" fillId="6" borderId="8" xfId="0" quotePrefix="1" applyFont="1" applyFill="1" applyBorder="1" applyAlignment="1">
      <alignment horizontal="center" vertical="center"/>
    </xf>
    <xf numFmtId="0" fontId="0" fillId="2" borderId="8" xfId="0" applyFill="1" applyBorder="1" applyAlignment="1">
      <alignment horizontal="center" vertical="center" wrapText="1"/>
    </xf>
    <xf numFmtId="43" fontId="4" fillId="7" borderId="10" xfId="4" applyFont="1" applyFill="1" applyBorder="1" applyAlignment="1">
      <alignment horizontal="center" vertical="center" wrapText="1"/>
    </xf>
    <xf numFmtId="43" fontId="4" fillId="7" borderId="18" xfId="4" applyFont="1" applyFill="1" applyBorder="1" applyAlignment="1">
      <alignment horizontal="center" vertical="center" wrapText="1"/>
    </xf>
    <xf numFmtId="43" fontId="4" fillId="7" borderId="19" xfId="4" applyFont="1" applyFill="1" applyBorder="1" applyAlignment="1">
      <alignment horizontal="center" vertical="center" wrapText="1"/>
    </xf>
    <xf numFmtId="0" fontId="14" fillId="0" borderId="8" xfId="0" applyFont="1" applyBorder="1" applyAlignment="1">
      <alignment vertical="center" wrapText="1"/>
    </xf>
    <xf numFmtId="49" fontId="15" fillId="2" borderId="8" xfId="3" applyNumberFormat="1" applyFont="1" applyFill="1" applyBorder="1" applyAlignment="1">
      <alignment horizontal="left" vertical="center" wrapText="1"/>
    </xf>
    <xf numFmtId="49" fontId="15" fillId="2" borderId="8" xfId="3" applyNumberFormat="1" applyFont="1" applyFill="1" applyBorder="1" applyAlignment="1">
      <alignment vertical="center" wrapText="1"/>
    </xf>
    <xf numFmtId="0" fontId="15" fillId="2" borderId="8" xfId="3" applyFont="1" applyFill="1" applyBorder="1" applyAlignment="1">
      <alignment horizontal="center" vertical="center" wrapText="1"/>
    </xf>
    <xf numFmtId="43" fontId="15" fillId="2" borderId="8" xfId="4" applyFont="1" applyFill="1" applyBorder="1" applyAlignment="1">
      <alignment horizontal="right" vertical="center" wrapText="1"/>
    </xf>
    <xf numFmtId="43" fontId="15" fillId="2" borderId="8" xfId="4" applyFont="1" applyFill="1" applyBorder="1" applyAlignment="1">
      <alignment horizontal="center" vertical="center" wrapText="1"/>
    </xf>
    <xf numFmtId="43" fontId="17" fillId="7" borderId="10" xfId="4" applyFont="1" applyFill="1" applyBorder="1" applyAlignment="1">
      <alignment horizontal="center" vertical="center" wrapText="1"/>
    </xf>
    <xf numFmtId="43" fontId="17" fillId="7" borderId="18" xfId="4" applyFont="1" applyFill="1" applyBorder="1" applyAlignment="1">
      <alignment horizontal="center" vertical="center" wrapText="1"/>
    </xf>
    <xf numFmtId="43" fontId="17" fillId="7" borderId="19" xfId="4" applyFont="1" applyFill="1" applyBorder="1" applyAlignment="1">
      <alignment horizontal="center" vertical="center" wrapText="1"/>
    </xf>
    <xf numFmtId="0" fontId="15" fillId="2" borderId="0" xfId="3" applyFont="1" applyFill="1" applyAlignment="1">
      <alignment vertical="center" wrapText="1"/>
    </xf>
    <xf numFmtId="0" fontId="16" fillId="6" borderId="8" xfId="0" applyFont="1" applyFill="1" applyBorder="1" applyAlignment="1">
      <alignment horizontal="center" vertical="center"/>
    </xf>
    <xf numFmtId="0" fontId="0" fillId="0" borderId="0" xfId="0" pivotButton="1"/>
    <xf numFmtId="9" fontId="9" fillId="11" borderId="8" xfId="6" applyFont="1" applyFill="1" applyBorder="1" applyAlignment="1">
      <alignment horizontal="center" vertical="center" wrapText="1"/>
    </xf>
    <xf numFmtId="43" fontId="2" fillId="11" borderId="8" xfId="4" applyFont="1" applyFill="1" applyBorder="1" applyAlignment="1">
      <alignment horizontal="right" vertical="center" wrapText="1"/>
    </xf>
    <xf numFmtId="9" fontId="2" fillId="11" borderId="8" xfId="2" applyFont="1" applyFill="1" applyBorder="1" applyAlignment="1">
      <alignment horizontal="center" vertical="center" wrapText="1"/>
    </xf>
    <xf numFmtId="43" fontId="2" fillId="11" borderId="8" xfId="4" applyFont="1" applyFill="1" applyBorder="1" applyAlignment="1">
      <alignment horizontal="center" vertical="center"/>
    </xf>
    <xf numFmtId="0" fontId="4" fillId="3" borderId="0" xfId="3" applyFont="1" applyFill="1" applyAlignment="1">
      <alignment vertical="center" wrapText="1"/>
    </xf>
    <xf numFmtId="4" fontId="0" fillId="0" borderId="0" xfId="0" applyNumberFormat="1" applyAlignment="1">
      <alignment horizontal="center" vertical="center" wrapText="1"/>
    </xf>
    <xf numFmtId="49" fontId="20" fillId="11" borderId="18" xfId="3" applyNumberFormat="1" applyFont="1" applyFill="1" applyBorder="1" applyAlignment="1">
      <alignment horizontal="center" vertical="center" wrapText="1"/>
    </xf>
    <xf numFmtId="49" fontId="20" fillId="11" borderId="19" xfId="3" applyNumberFormat="1" applyFont="1" applyFill="1" applyBorder="1" applyAlignment="1">
      <alignment horizontal="center" vertical="center" wrapText="1"/>
    </xf>
    <xf numFmtId="49" fontId="20" fillId="11" borderId="23" xfId="3" applyNumberFormat="1" applyFont="1" applyFill="1" applyBorder="1" applyAlignment="1">
      <alignment horizontal="center" vertical="center" wrapText="1"/>
    </xf>
    <xf numFmtId="49" fontId="20" fillId="11" borderId="24" xfId="3" applyNumberFormat="1" applyFont="1" applyFill="1" applyBorder="1" applyAlignment="1">
      <alignment horizontal="center" vertical="center" wrapText="1"/>
    </xf>
    <xf numFmtId="43" fontId="2" fillId="2" borderId="0" xfId="1" applyFont="1" applyFill="1" applyAlignment="1">
      <alignment vertical="center" wrapText="1"/>
    </xf>
    <xf numFmtId="0" fontId="2" fillId="2" borderId="2" xfId="3" applyFill="1" applyBorder="1" applyAlignment="1">
      <alignment vertical="center" wrapText="1"/>
    </xf>
    <xf numFmtId="0" fontId="2" fillId="2" borderId="3" xfId="3" applyFill="1" applyBorder="1" applyAlignment="1">
      <alignment vertical="center" wrapText="1"/>
    </xf>
    <xf numFmtId="0" fontId="2" fillId="2" borderId="8" xfId="3" applyFill="1" applyBorder="1" applyAlignment="1">
      <alignment vertical="center" wrapText="1"/>
    </xf>
    <xf numFmtId="0" fontId="2" fillId="2" borderId="9" xfId="3" applyFill="1" applyBorder="1" applyAlignment="1">
      <alignment vertical="center" wrapText="1"/>
    </xf>
    <xf numFmtId="0" fontId="2" fillId="2" borderId="8" xfId="3" quotePrefix="1" applyFill="1" applyBorder="1" applyAlignment="1">
      <alignment vertical="center" wrapText="1"/>
    </xf>
    <xf numFmtId="0" fontId="8" fillId="6" borderId="10" xfId="0" applyFont="1" applyFill="1" applyBorder="1" applyAlignment="1">
      <alignment horizontal="center" vertical="center"/>
    </xf>
    <xf numFmtId="0" fontId="8" fillId="6" borderId="18" xfId="0" applyFont="1" applyFill="1" applyBorder="1" applyAlignment="1">
      <alignment horizontal="center" vertical="center"/>
    </xf>
    <xf numFmtId="0" fontId="8" fillId="6" borderId="19" xfId="0" applyFont="1" applyFill="1" applyBorder="1" applyAlignment="1">
      <alignment horizontal="center" vertical="center"/>
    </xf>
    <xf numFmtId="43" fontId="4" fillId="7" borderId="10" xfId="4" applyFont="1" applyFill="1" applyBorder="1" applyAlignment="1">
      <alignment horizontal="center" vertical="center" wrapText="1"/>
    </xf>
    <xf numFmtId="43" fontId="4" fillId="7" borderId="18" xfId="4" applyFont="1" applyFill="1" applyBorder="1" applyAlignment="1">
      <alignment horizontal="center" vertical="center" wrapText="1"/>
    </xf>
    <xf numFmtId="43" fontId="4" fillId="7" borderId="19" xfId="4" applyFont="1" applyFill="1" applyBorder="1" applyAlignment="1">
      <alignment horizontal="center" vertical="center" wrapText="1"/>
    </xf>
    <xf numFmtId="0" fontId="7" fillId="2" borderId="14" xfId="5" applyFill="1" applyBorder="1" applyAlignment="1" applyProtection="1">
      <alignment vertical="center" wrapText="1"/>
    </xf>
    <xf numFmtId="0" fontId="2" fillId="2" borderId="15" xfId="3" applyFill="1" applyBorder="1" applyAlignment="1">
      <alignment vertical="center" wrapText="1"/>
    </xf>
    <xf numFmtId="43" fontId="2" fillId="0" borderId="20" xfId="4" applyFont="1" applyFill="1" applyBorder="1" applyAlignment="1">
      <alignment horizontal="center" vertical="center"/>
    </xf>
    <xf numFmtId="43" fontId="2" fillId="0" borderId="21" xfId="4" applyFont="1" applyFill="1" applyBorder="1" applyAlignment="1">
      <alignment horizontal="center" vertical="center"/>
    </xf>
    <xf numFmtId="43" fontId="2" fillId="0" borderId="20" xfId="4" applyBorder="1" applyAlignment="1">
      <alignment horizontal="center" vertical="center"/>
    </xf>
    <xf numFmtId="43" fontId="2" fillId="0" borderId="21" xfId="4" applyBorder="1" applyAlignment="1">
      <alignment horizontal="center" vertical="center"/>
    </xf>
    <xf numFmtId="9" fontId="9" fillId="8" borderId="20" xfId="6" applyFont="1" applyFill="1" applyBorder="1" applyAlignment="1">
      <alignment horizontal="center" vertical="center" wrapText="1"/>
    </xf>
    <xf numFmtId="9" fontId="9" fillId="8" borderId="21" xfId="6" applyFont="1" applyFill="1" applyBorder="1" applyAlignment="1">
      <alignment horizontal="center" vertical="center" wrapText="1"/>
    </xf>
    <xf numFmtId="43" fontId="19" fillId="2" borderId="20" xfId="4" applyFont="1" applyFill="1" applyBorder="1" applyAlignment="1">
      <alignment horizontal="center" vertical="center" wrapText="1"/>
    </xf>
    <xf numFmtId="43" fontId="19" fillId="2" borderId="21" xfId="4" applyFont="1" applyFill="1" applyBorder="1" applyAlignment="1">
      <alignment horizontal="center" vertical="center" wrapText="1"/>
    </xf>
    <xf numFmtId="43" fontId="2" fillId="9" borderId="20" xfId="4" applyFont="1" applyFill="1" applyBorder="1" applyAlignment="1">
      <alignment horizontal="center" vertical="center" wrapText="1"/>
    </xf>
    <xf numFmtId="43" fontId="2" fillId="9" borderId="21" xfId="4" applyFont="1" applyFill="1" applyBorder="1" applyAlignment="1">
      <alignment horizontal="center" vertical="center" wrapText="1"/>
    </xf>
    <xf numFmtId="9" fontId="2" fillId="0" borderId="20" xfId="2" applyFont="1" applyFill="1" applyBorder="1" applyAlignment="1">
      <alignment horizontal="center" vertical="center" wrapText="1"/>
    </xf>
    <xf numFmtId="9" fontId="2" fillId="0" borderId="21" xfId="2" applyFont="1" applyFill="1" applyBorder="1" applyAlignment="1">
      <alignment horizontal="center" vertical="center" wrapText="1"/>
    </xf>
    <xf numFmtId="0" fontId="8" fillId="6" borderId="20" xfId="0" applyFont="1" applyFill="1" applyBorder="1" applyAlignment="1">
      <alignment horizontal="center" vertical="center"/>
    </xf>
    <xf numFmtId="0" fontId="8" fillId="6" borderId="22" xfId="0" applyFont="1" applyFill="1" applyBorder="1" applyAlignment="1">
      <alignment horizontal="center" vertical="center"/>
    </xf>
    <xf numFmtId="0" fontId="8" fillId="6" borderId="21" xfId="0" applyFont="1" applyFill="1" applyBorder="1" applyAlignment="1">
      <alignment horizontal="center" vertical="center"/>
    </xf>
    <xf numFmtId="0" fontId="18" fillId="0" borderId="20" xfId="0" applyFont="1" applyBorder="1" applyAlignment="1">
      <alignment horizontal="right" vertical="center" wrapText="1"/>
    </xf>
    <xf numFmtId="0" fontId="18" fillId="0" borderId="21" xfId="0" applyFont="1" applyBorder="1" applyAlignment="1">
      <alignment horizontal="right" vertical="center" wrapText="1"/>
    </xf>
    <xf numFmtId="0" fontId="19" fillId="2" borderId="20" xfId="3" applyFont="1" applyFill="1" applyBorder="1" applyAlignment="1">
      <alignment horizontal="center" vertical="center" wrapText="1"/>
    </xf>
    <xf numFmtId="0" fontId="19" fillId="2" borderId="21" xfId="3" applyFont="1" applyFill="1" applyBorder="1" applyAlignment="1">
      <alignment horizontal="center" vertical="center" wrapText="1"/>
    </xf>
    <xf numFmtId="0" fontId="18" fillId="0" borderId="20" xfId="0" applyFont="1" applyBorder="1" applyAlignment="1">
      <alignment horizontal="center" vertical="center" wrapText="1"/>
    </xf>
    <xf numFmtId="0" fontId="18" fillId="0" borderId="21" xfId="0" applyFont="1" applyBorder="1" applyAlignment="1">
      <alignment horizontal="center" vertical="center" wrapText="1"/>
    </xf>
    <xf numFmtId="1" fontId="8" fillId="6" borderId="20" xfId="0" applyNumberFormat="1" applyFont="1" applyFill="1" applyBorder="1" applyAlignment="1">
      <alignment horizontal="center" vertical="center"/>
    </xf>
    <xf numFmtId="1" fontId="8" fillId="6" borderId="21" xfId="0" applyNumberFormat="1" applyFont="1" applyFill="1" applyBorder="1" applyAlignment="1">
      <alignment horizontal="center" vertical="center"/>
    </xf>
    <xf numFmtId="49" fontId="20" fillId="11" borderId="10" xfId="3" applyNumberFormat="1" applyFont="1" applyFill="1" applyBorder="1" applyAlignment="1">
      <alignment horizontal="center" vertical="center" wrapText="1"/>
    </xf>
    <xf numFmtId="49" fontId="20" fillId="11" borderId="18" xfId="3" applyNumberFormat="1" applyFont="1" applyFill="1" applyBorder="1" applyAlignment="1">
      <alignment horizontal="center" vertical="center" wrapText="1"/>
    </xf>
    <xf numFmtId="49" fontId="20" fillId="11" borderId="19" xfId="3" applyNumberFormat="1" applyFont="1" applyFill="1" applyBorder="1" applyAlignment="1">
      <alignment horizontal="center" vertical="center" wrapText="1"/>
    </xf>
    <xf numFmtId="0" fontId="2" fillId="2" borderId="8" xfId="3" applyFill="1" applyBorder="1" applyAlignment="1">
      <alignment horizontal="center" vertical="center" wrapText="1"/>
    </xf>
    <xf numFmtId="0" fontId="2" fillId="2" borderId="10" xfId="3" applyFill="1" applyBorder="1" applyAlignment="1">
      <alignment horizontal="center" vertical="center" wrapText="1"/>
    </xf>
    <xf numFmtId="0" fontId="2" fillId="2" borderId="14" xfId="3" applyFill="1" applyBorder="1" applyAlignment="1">
      <alignment horizontal="center" vertical="center" wrapText="1"/>
    </xf>
    <xf numFmtId="0" fontId="2" fillId="2" borderId="16" xfId="3" applyFill="1" applyBorder="1" applyAlignment="1">
      <alignment horizontal="center" vertical="center" wrapText="1"/>
    </xf>
    <xf numFmtId="0" fontId="2" fillId="2" borderId="4" xfId="3" applyFill="1" applyBorder="1" applyAlignment="1">
      <alignment horizontal="center" vertical="center" wrapText="1"/>
    </xf>
    <xf numFmtId="0" fontId="2" fillId="2" borderId="2" xfId="3" applyFill="1" applyBorder="1" applyAlignment="1">
      <alignment horizontal="center" vertical="center" wrapText="1"/>
    </xf>
    <xf numFmtId="43" fontId="19" fillId="2" borderId="22" xfId="4" applyFont="1" applyFill="1" applyBorder="1" applyAlignment="1">
      <alignment horizontal="center" vertical="center" wrapText="1"/>
    </xf>
    <xf numFmtId="0" fontId="18" fillId="0" borderId="22" xfId="0" applyFont="1" applyBorder="1" applyAlignment="1">
      <alignment horizontal="center" vertical="center" wrapText="1"/>
    </xf>
    <xf numFmtId="0" fontId="18" fillId="0" borderId="20" xfId="0" applyFont="1" applyBorder="1" applyAlignment="1">
      <alignment horizontal="right" vertical="center" wrapText="1" readingOrder="2"/>
    </xf>
    <xf numFmtId="0" fontId="18" fillId="0" borderId="22" xfId="0" applyFont="1" applyBorder="1" applyAlignment="1">
      <alignment horizontal="right" vertical="center" wrapText="1" readingOrder="2"/>
    </xf>
    <xf numFmtId="0" fontId="18" fillId="0" borderId="21" xfId="0" applyFont="1" applyBorder="1" applyAlignment="1">
      <alignment horizontal="right" vertical="center" wrapText="1" readingOrder="2"/>
    </xf>
    <xf numFmtId="0" fontId="19" fillId="2" borderId="22" xfId="3" applyFont="1" applyFill="1" applyBorder="1" applyAlignment="1">
      <alignment horizontal="center" vertical="center" wrapText="1"/>
    </xf>
    <xf numFmtId="43" fontId="2" fillId="0" borderId="22" xfId="4" applyBorder="1" applyAlignment="1">
      <alignment horizontal="center" vertical="center"/>
    </xf>
    <xf numFmtId="9" fontId="2" fillId="0" borderId="20" xfId="2" applyFont="1" applyBorder="1" applyAlignment="1">
      <alignment horizontal="center" vertical="center" wrapText="1"/>
    </xf>
    <xf numFmtId="9" fontId="2" fillId="0" borderId="22" xfId="2" applyFont="1" applyBorder="1" applyAlignment="1">
      <alignment horizontal="center" vertical="center" wrapText="1"/>
    </xf>
    <xf numFmtId="9" fontId="2" fillId="0" borderId="21" xfId="2" applyFont="1" applyBorder="1" applyAlignment="1">
      <alignment horizontal="center" vertical="center" wrapText="1"/>
    </xf>
    <xf numFmtId="9" fontId="9" fillId="8" borderId="22" xfId="6" applyFont="1" applyFill="1" applyBorder="1" applyAlignment="1">
      <alignment horizontal="center" vertical="center" wrapText="1"/>
    </xf>
    <xf numFmtId="43" fontId="2" fillId="9" borderId="22" xfId="4" applyFont="1" applyFill="1" applyBorder="1" applyAlignment="1">
      <alignment horizontal="center" vertical="center" wrapText="1"/>
    </xf>
  </cellXfs>
  <cellStyles count="14">
    <cellStyle name="Comma" xfId="1" builtinId="3"/>
    <cellStyle name="Comma 2" xfId="10" xr:uid="{00000000-0005-0000-0000-000001000000}"/>
    <cellStyle name="Comma 2 2" xfId="4" xr:uid="{00000000-0005-0000-0000-000002000000}"/>
    <cellStyle name="Comma 2 3" xfId="12" xr:uid="{298C8E40-7BDE-47BC-B0E3-5D4EFC558725}"/>
    <cellStyle name="Comma 7" xfId="7" xr:uid="{00000000-0005-0000-0000-000003000000}"/>
    <cellStyle name="Hyperlink" xfId="5" builtinId="8"/>
    <cellStyle name="Normal" xfId="0" builtinId="0"/>
    <cellStyle name="Normal 2" xfId="9" xr:uid="{00000000-0005-0000-0000-000006000000}"/>
    <cellStyle name="Normal 2 2" xfId="8" xr:uid="{00000000-0005-0000-0000-000007000000}"/>
    <cellStyle name="Normal 2 4" xfId="3" xr:uid="{00000000-0005-0000-0000-000008000000}"/>
    <cellStyle name="Normal 3" xfId="11" xr:uid="{00000000-0005-0000-0000-000009000000}"/>
    <cellStyle name="Normal 4 2 2" xfId="13" xr:uid="{08BF1DD2-47F1-4DFC-B9F0-4171817A9295}"/>
    <cellStyle name="Percent" xfId="2" builtinId="5"/>
    <cellStyle name="Percent 3 2" xfId="6" xr:uid="{00000000-0005-0000-0000-00000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onnections" Target="connections.xml"/><Relationship Id="rId5" Type="http://schemas.openxmlformats.org/officeDocument/2006/relationships/externalLink" Target="externalLinks/externalLink2.xml"/><Relationship Id="rId15" Type="http://schemas.microsoft.com/office/2017/10/relationships/person" Target="persons/person.xml"/><Relationship Id="rId10" Type="http://schemas.openxmlformats.org/officeDocument/2006/relationships/theme" Target="theme/theme1.xml"/><Relationship Id="rId19"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pivotCacheDefinition" Target="pivotCache/pivotCacheDefinition1.xml"/><Relationship Id="rId14" Type="http://schemas.openxmlformats.org/officeDocument/2006/relationships/powerPivotData" Target="model/item.data"/></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BoQ%20(V2)"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User/Desktop/Alaeddin%20Latest%20Copy/Quotations/July%2005,%202007/Documents%20and%20Settings/Abdul%20Rauf%20%20Chougle/My%20Documents/Rauf%20Quotations/2005/0512.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anmat-my.sharepoint.com/personal/ahmed_hamdy_anmat_sa/Documents/ANMAT%202023/Projects/Riyadh%20Airports/Cisco%20Renewals%20-%208.2024/OK-2024-Q3-Q-Cisco%20Licenses-Riyadh%20Airports-Aug-18th.xlsx" TargetMode="External"/><Relationship Id="rId1" Type="http://schemas.openxmlformats.org/officeDocument/2006/relationships/externalLinkPath" Target="/personal/ahmed_hamdy_anmat_sa/Documents/ANMAT%202023/Projects/Riyadh%20Airports/Cisco%20Renewals%20-%208.2024/OK-2024-Q3-Q-Cisco%20Licenses-Riyadh%20Airports-Aug-18th.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erver\PUBLIC\ATL%20Pricelist.xls"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Documents%20and%20Settings/User/Desktop/Alaeddin%20Latest%20Copy/Quotations/July%2005,%202007/Documents%20and%20Settings/Abdul%20Rauf%20%20Chougle/Local%20Settings/Temporary%20Internet%20Files/OLK40C/Quote%20Sheet%20V5-0.xls%20-%20300%20and%20400%20Trays.xls?318B73F4" TargetMode="External"/><Relationship Id="rId1" Type="http://schemas.openxmlformats.org/officeDocument/2006/relationships/externalLinkPath" Target="file:///\\318B73F4\Quote%20Sheet%20V5-0.xls%20-%20300%20and%20400%20Tray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V2)"/>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03"/>
      <sheetName val="IMTAC-02"/>
      <sheetName val="AGS-01"/>
      <sheetName val="Oasis-02"/>
      <sheetName val="CP-02"/>
      <sheetName val="OS-01"/>
      <sheetName val="DUC-01"/>
      <sheetName val="TGT-04"/>
      <sheetName val="TGT-03"/>
      <sheetName val="TGT-02"/>
      <sheetName val="DGCE-01"/>
      <sheetName val="YCC-02"/>
      <sheetName val="OCS-02"/>
      <sheetName val="ITS-01"/>
      <sheetName val="YCC-01"/>
      <sheetName val="CP-01"/>
      <sheetName val="CP-01 Working"/>
      <sheetName val="QCS-03"/>
      <sheetName val="KRCCS-01"/>
      <sheetName val="Symphony-01"/>
      <sheetName val="SC-01"/>
      <sheetName val="CDN-01"/>
      <sheetName val="IMG-01"/>
      <sheetName val="New Format"/>
      <sheetName val="PROTECH-01"/>
      <sheetName val="AlFalak-01"/>
      <sheetName val="MIS-02"/>
      <sheetName val="MIS-02 (working)"/>
      <sheetName val="OCS-01"/>
      <sheetName val="QCS-02"/>
      <sheetName val="CP-01 ALICO"/>
      <sheetName val="Oasis-01"/>
      <sheetName val="SI0512-11"/>
      <sheetName val="DynCorp-01"/>
      <sheetName val="IMTAC-01"/>
      <sheetName val="QCS-01"/>
      <sheetName val="MIS-01"/>
      <sheetName val="CP-00"/>
      <sheetName val="ALICO"/>
      <sheetName val="INC-01"/>
      <sheetName val="Oxy-01"/>
      <sheetName val="TGT-01"/>
      <sheetName val="Blank"/>
      <sheetName val="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oQ"/>
      <sheetName val="Control"/>
    </sheetNames>
    <sheetDataSet>
      <sheetData sheetId="0"/>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Price Book"/>
      <sheetName val="Discounts"/>
      <sheetName val="Service"/>
      <sheetName val="Notes"/>
    </sheetNames>
    <sheetDataSet>
      <sheetData sheetId="0" refreshError="1">
        <row r="8">
          <cell r="E8">
            <v>1</v>
          </cell>
        </row>
      </sheetData>
      <sheetData sheetId="1" refreshError="1"/>
      <sheetData sheetId="2" refreshError="1"/>
      <sheetData sheetId="3" refreshError="1">
        <row r="2">
          <cell r="A2" t="str">
            <v>Service Code</v>
          </cell>
          <cell r="E2" t="str">
            <v>Warranty</v>
          </cell>
        </row>
        <row r="3">
          <cell r="A3" t="str">
            <v>ACC01</v>
          </cell>
          <cell r="E3" t="str">
            <v>None</v>
          </cell>
        </row>
        <row r="4">
          <cell r="A4" t="str">
            <v>ACC02</v>
          </cell>
          <cell r="E4" t="str">
            <v>30d APR</v>
          </cell>
        </row>
        <row r="5">
          <cell r="A5" t="str">
            <v>ACC03</v>
          </cell>
          <cell r="E5" t="str">
            <v>30d ND</v>
          </cell>
        </row>
        <row r="6">
          <cell r="A6" t="str">
            <v>ACC04</v>
          </cell>
          <cell r="E6" t="str">
            <v>1yr ND</v>
          </cell>
        </row>
        <row r="7">
          <cell r="A7" t="str">
            <v>ACC05</v>
          </cell>
          <cell r="E7" t="str">
            <v>30d APR</v>
          </cell>
        </row>
        <row r="8">
          <cell r="A8" t="str">
            <v>AOT</v>
          </cell>
        </row>
        <row r="9">
          <cell r="A9" t="str">
            <v>ASCV</v>
          </cell>
        </row>
        <row r="10">
          <cell r="A10" t="str">
            <v>ATL2640</v>
          </cell>
          <cell r="E10" t="str">
            <v>Out of Warranty</v>
          </cell>
        </row>
        <row r="11">
          <cell r="A11" t="str">
            <v>ATL520</v>
          </cell>
          <cell r="E11" t="str">
            <v>Out of Warranty</v>
          </cell>
        </row>
        <row r="12">
          <cell r="A12" t="str">
            <v>ATL7100</v>
          </cell>
          <cell r="E12" t="str">
            <v>1yr ND</v>
          </cell>
        </row>
        <row r="13">
          <cell r="A13" t="str">
            <v>CIF</v>
          </cell>
        </row>
        <row r="14">
          <cell r="A14" t="str">
            <v>CR4200</v>
          </cell>
          <cell r="E14" t="str">
            <v>Out of Warranty</v>
          </cell>
        </row>
        <row r="15">
          <cell r="A15" t="str">
            <v>FAOUC</v>
          </cell>
          <cell r="E15" t="str">
            <v>30d ND</v>
          </cell>
        </row>
        <row r="16">
          <cell r="A16" t="str">
            <v>FAOUCAH</v>
          </cell>
        </row>
        <row r="17">
          <cell r="A17" t="str">
            <v>FCICCFAC</v>
          </cell>
          <cell r="E17" t="str">
            <v>1yr ND</v>
          </cell>
        </row>
        <row r="18">
          <cell r="A18" t="str">
            <v>FCICCFIK</v>
          </cell>
          <cell r="E18" t="str">
            <v>30d ND</v>
          </cell>
        </row>
        <row r="19">
          <cell r="A19" t="str">
            <v>L200</v>
          </cell>
          <cell r="E19" t="str">
            <v>3yr RE</v>
          </cell>
        </row>
        <row r="20">
          <cell r="A20" t="str">
            <v>L500</v>
          </cell>
          <cell r="E20" t="str">
            <v>3yr RE</v>
          </cell>
        </row>
        <row r="21">
          <cell r="A21" t="str">
            <v>L500-1</v>
          </cell>
          <cell r="E21" t="str">
            <v>3yr RE</v>
          </cell>
        </row>
        <row r="22">
          <cell r="A22" t="str">
            <v>L500-2</v>
          </cell>
          <cell r="E22" t="str">
            <v>3yr RE</v>
          </cell>
        </row>
        <row r="23">
          <cell r="A23" t="str">
            <v>L500-3</v>
          </cell>
          <cell r="E23" t="str">
            <v>3yr RE</v>
          </cell>
        </row>
        <row r="24">
          <cell r="A24" t="str">
            <v>LV200</v>
          </cell>
          <cell r="E24" t="str">
            <v>3yr RE</v>
          </cell>
        </row>
        <row r="25">
          <cell r="A25" t="str">
            <v>M1500</v>
          </cell>
          <cell r="E25" t="str">
            <v>3yr RE</v>
          </cell>
        </row>
        <row r="26">
          <cell r="A26" t="str">
            <v>M1500-PCSC-AC</v>
          </cell>
        </row>
        <row r="27">
          <cell r="A27" t="str">
            <v>NBUIS</v>
          </cell>
        </row>
        <row r="28">
          <cell r="A28" t="str">
            <v>NDTUK</v>
          </cell>
          <cell r="E28" t="str">
            <v>30d ND</v>
          </cell>
        </row>
        <row r="29">
          <cell r="A29" t="str">
            <v>P1000</v>
          </cell>
          <cell r="E29" t="str">
            <v>1yr ND</v>
          </cell>
        </row>
        <row r="30">
          <cell r="A30" t="str">
            <v>P2000</v>
          </cell>
          <cell r="E30" t="str">
            <v>1yr ND</v>
          </cell>
        </row>
        <row r="31">
          <cell r="A31" t="str">
            <v>P2000AF</v>
          </cell>
          <cell r="E31" t="str">
            <v>1yr ND</v>
          </cell>
        </row>
        <row r="32">
          <cell r="A32" t="str">
            <v>P2000FEN</v>
          </cell>
          <cell r="E32" t="str">
            <v>1yr ND</v>
          </cell>
        </row>
        <row r="33">
          <cell r="A33" t="str">
            <v>P3000</v>
          </cell>
          <cell r="E33" t="str">
            <v>1yr ND</v>
          </cell>
        </row>
        <row r="34">
          <cell r="A34" t="str">
            <v>P3000AF</v>
          </cell>
          <cell r="E34" t="str">
            <v>1yr ND</v>
          </cell>
        </row>
        <row r="35">
          <cell r="A35" t="str">
            <v>P3000FEN</v>
          </cell>
          <cell r="E35" t="str">
            <v>1yr ND</v>
          </cell>
        </row>
        <row r="36">
          <cell r="A36" t="str">
            <v>P3000HYB</v>
          </cell>
          <cell r="E36" t="str">
            <v>1yr ND</v>
          </cell>
        </row>
        <row r="37">
          <cell r="A37" t="str">
            <v>P6000</v>
          </cell>
          <cell r="E37" t="str">
            <v>1yr ND</v>
          </cell>
        </row>
        <row r="38">
          <cell r="A38" t="str">
            <v>PL50</v>
          </cell>
          <cell r="E38" t="str">
            <v>1yr ND</v>
          </cell>
        </row>
        <row r="39">
          <cell r="A39" t="str">
            <v>S101</v>
          </cell>
        </row>
        <row r="40">
          <cell r="A40" t="str">
            <v>S201</v>
          </cell>
        </row>
        <row r="41">
          <cell r="A41" t="str">
            <v>SBSF</v>
          </cell>
          <cell r="E41" t="str">
            <v>1yr ND</v>
          </cell>
        </row>
        <row r="42">
          <cell r="A42" t="str">
            <v>STORLINK</v>
          </cell>
          <cell r="E42" t="str">
            <v>Out of Warranty</v>
          </cell>
        </row>
        <row r="43">
          <cell r="A43" t="str">
            <v>SURVEY</v>
          </cell>
        </row>
        <row r="44">
          <cell r="A44" t="str">
            <v>TDNDFAC</v>
          </cell>
          <cell r="E44" t="str">
            <v>1yr ND</v>
          </cell>
        </row>
        <row r="45">
          <cell r="A45" t="str">
            <v>TDNDFIK</v>
          </cell>
          <cell r="E45" t="str">
            <v>30d ND</v>
          </cell>
        </row>
        <row r="46">
          <cell r="A46" t="str">
            <v>TDREFAC</v>
          </cell>
          <cell r="E46" t="str">
            <v>3yr RE</v>
          </cell>
        </row>
        <row r="47">
          <cell r="A47" t="str">
            <v>TDREFIK</v>
          </cell>
          <cell r="E47" t="str">
            <v>30d ND</v>
          </cell>
        </row>
        <row r="48">
          <cell r="A48" t="str">
            <v>TM</v>
          </cell>
        </row>
        <row r="49">
          <cell r="A49" t="str">
            <v>TTS</v>
          </cell>
        </row>
      </sheetData>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Quote Sheet"/>
      <sheetName val="Summary 1"/>
      <sheetName val="Summary 2"/>
      <sheetName val="Summary 3"/>
      <sheetName val="QLOG extract"/>
    </sheetNames>
    <sheetDataSet>
      <sheetData sheetId="0" refreshError="1"/>
      <sheetData sheetId="1" refreshError="1">
        <row r="9">
          <cell r="A9">
            <v>1</v>
          </cell>
          <cell r="B9" t="str">
            <v>FLA300</v>
          </cell>
          <cell r="C9">
            <v>8704</v>
          </cell>
          <cell r="D9">
            <v>3399</v>
          </cell>
          <cell r="E9">
            <v>8704</v>
          </cell>
          <cell r="F9">
            <v>1</v>
          </cell>
          <cell r="G9" t="str">
            <v>FLA3001-0000</v>
          </cell>
          <cell r="H9" t="str">
            <v>FLA300 ACCESS-CEN SWITCH ARRAY</v>
          </cell>
          <cell r="I9">
            <v>1</v>
          </cell>
          <cell r="M9">
            <v>8704</v>
          </cell>
          <cell r="N9">
            <v>0</v>
          </cell>
          <cell r="O9">
            <v>8704</v>
          </cell>
          <cell r="P9">
            <v>3399</v>
          </cell>
          <cell r="Q9">
            <v>0.60948988970588236</v>
          </cell>
          <cell r="R9">
            <v>0.60948988970588236</v>
          </cell>
        </row>
        <row r="10">
          <cell r="A10">
            <v>2</v>
          </cell>
          <cell r="B10" t="str">
            <v>FLA300</v>
          </cell>
          <cell r="C10">
            <v>0</v>
          </cell>
          <cell r="D10">
            <v>0</v>
          </cell>
          <cell r="E10">
            <v>0</v>
          </cell>
          <cell r="F10">
            <v>2</v>
          </cell>
          <cell r="G10" t="str">
            <v>FLA3001-9901</v>
          </cell>
          <cell r="H10" t="str">
            <v>RACK MOUNTING</v>
          </cell>
          <cell r="I10">
            <v>1</v>
          </cell>
          <cell r="M10">
            <v>0</v>
          </cell>
          <cell r="N10"/>
          <cell r="O10">
            <v>0</v>
          </cell>
          <cell r="P10">
            <v>0</v>
          </cell>
          <cell r="Q10">
            <v>0</v>
          </cell>
          <cell r="R10">
            <v>0</v>
          </cell>
        </row>
        <row r="11">
          <cell r="A11">
            <v>3</v>
          </cell>
          <cell r="B11" t="str">
            <v>FLA300</v>
          </cell>
          <cell r="C11">
            <v>0</v>
          </cell>
          <cell r="D11">
            <v>4</v>
          </cell>
          <cell r="E11">
            <v>0</v>
          </cell>
          <cell r="F11">
            <v>3</v>
          </cell>
          <cell r="G11" t="str">
            <v>FLA3001-ALRM</v>
          </cell>
          <cell r="H11" t="str">
            <v>AUDIBLE ALARM</v>
          </cell>
          <cell r="I11">
            <v>1</v>
          </cell>
          <cell r="M11">
            <v>0</v>
          </cell>
          <cell r="N11"/>
          <cell r="O11">
            <v>0</v>
          </cell>
          <cell r="P11">
            <v>4</v>
          </cell>
          <cell r="Q11">
            <v>0</v>
          </cell>
          <cell r="R11">
            <v>0</v>
          </cell>
        </row>
        <row r="12">
          <cell r="A12">
            <v>4</v>
          </cell>
          <cell r="B12" t="str">
            <v>FLA300</v>
          </cell>
          <cell r="C12">
            <v>117</v>
          </cell>
          <cell r="D12">
            <v>201</v>
          </cell>
          <cell r="E12">
            <v>117</v>
          </cell>
          <cell r="F12">
            <v>4</v>
          </cell>
          <cell r="G12" t="str">
            <v>FLA3001-AR01</v>
          </cell>
          <cell r="H12" t="str">
            <v>ADJUSTABLE RACK RAILS</v>
          </cell>
          <cell r="I12">
            <v>1</v>
          </cell>
          <cell r="M12">
            <v>117</v>
          </cell>
          <cell r="N12">
            <v>0</v>
          </cell>
          <cell r="O12">
            <v>117</v>
          </cell>
          <cell r="P12">
            <v>201</v>
          </cell>
          <cell r="Q12">
            <v>-0.71794871794871784</v>
          </cell>
          <cell r="R12">
            <v>-0.71794871794871784</v>
          </cell>
        </row>
        <row r="13">
          <cell r="A13">
            <v>5</v>
          </cell>
          <cell r="B13" t="str">
            <v>FLA300</v>
          </cell>
          <cell r="C13">
            <v>15435</v>
          </cell>
          <cell r="D13">
            <v>4326</v>
          </cell>
          <cell r="E13">
            <v>15435</v>
          </cell>
          <cell r="F13">
            <v>5</v>
          </cell>
          <cell r="G13" t="str">
            <v>FLA3001-F46E</v>
          </cell>
          <cell r="H13" t="str">
            <v>14 300GB 10K FIBRE DRIVES</v>
          </cell>
          <cell r="I13">
            <v>1</v>
          </cell>
          <cell r="M13">
            <v>15435</v>
          </cell>
          <cell r="N13">
            <v>0</v>
          </cell>
          <cell r="O13">
            <v>15435</v>
          </cell>
          <cell r="P13">
            <v>9240</v>
          </cell>
          <cell r="Q13">
            <v>0.40136054421768708</v>
          </cell>
          <cell r="R13">
            <v>0.40136054421768708</v>
          </cell>
        </row>
        <row r="14">
          <cell r="A14">
            <v>5</v>
          </cell>
          <cell r="B14"/>
          <cell r="C14"/>
          <cell r="D14"/>
          <cell r="E14"/>
          <cell r="F14">
            <v>5</v>
          </cell>
          <cell r="M14"/>
          <cell r="N14"/>
          <cell r="O14"/>
          <cell r="P14"/>
          <cell r="Q14">
            <v>0</v>
          </cell>
          <cell r="R14">
            <v>0</v>
          </cell>
        </row>
        <row r="15">
          <cell r="A15">
            <v>5</v>
          </cell>
          <cell r="B15"/>
          <cell r="C15"/>
          <cell r="D15"/>
          <cell r="E15"/>
          <cell r="F15">
            <v>5</v>
          </cell>
          <cell r="M15"/>
          <cell r="N15"/>
          <cell r="O15"/>
          <cell r="P15"/>
          <cell r="Q15">
            <v>0</v>
          </cell>
          <cell r="R15">
            <v>0</v>
          </cell>
        </row>
        <row r="16">
          <cell r="A16">
            <v>6</v>
          </cell>
          <cell r="B16" t="str">
            <v>FLC200</v>
          </cell>
          <cell r="C16">
            <v>5803</v>
          </cell>
          <cell r="D16">
            <v>2782</v>
          </cell>
          <cell r="E16">
            <v>5803</v>
          </cell>
          <cell r="F16">
            <v>6</v>
          </cell>
          <cell r="G16" t="str">
            <v>B200001-0000</v>
          </cell>
          <cell r="H16" t="str">
            <v>2GB 14 SLOT SATA DISK ARRAY</v>
          </cell>
          <cell r="I16">
            <v>1</v>
          </cell>
          <cell r="M16">
            <v>5803</v>
          </cell>
          <cell r="N16">
            <v>0</v>
          </cell>
          <cell r="O16">
            <v>5803</v>
          </cell>
          <cell r="P16">
            <v>2782</v>
          </cell>
          <cell r="Q16">
            <v>0.52059279682922632</v>
          </cell>
          <cell r="R16">
            <v>0.52059279682922632</v>
          </cell>
        </row>
        <row r="17">
          <cell r="A17">
            <v>7</v>
          </cell>
          <cell r="B17" t="str">
            <v>FLC200</v>
          </cell>
          <cell r="C17">
            <v>0</v>
          </cell>
          <cell r="D17">
            <v>0</v>
          </cell>
          <cell r="E17">
            <v>0</v>
          </cell>
          <cell r="F17">
            <v>7</v>
          </cell>
          <cell r="G17" t="str">
            <v>B200001-9901</v>
          </cell>
          <cell r="H17" t="str">
            <v>RACK MOUNTING</v>
          </cell>
          <cell r="I17">
            <v>1</v>
          </cell>
          <cell r="M17">
            <v>0</v>
          </cell>
          <cell r="N17"/>
          <cell r="O17">
            <v>0</v>
          </cell>
          <cell r="P17">
            <v>0</v>
          </cell>
          <cell r="Q17">
            <v>0</v>
          </cell>
          <cell r="R17">
            <v>0</v>
          </cell>
        </row>
        <row r="18">
          <cell r="A18">
            <v>8</v>
          </cell>
          <cell r="B18" t="str">
            <v>FLC200</v>
          </cell>
          <cell r="C18">
            <v>7718</v>
          </cell>
          <cell r="D18">
            <v>2898</v>
          </cell>
          <cell r="E18">
            <v>7718</v>
          </cell>
          <cell r="F18">
            <v>8</v>
          </cell>
          <cell r="G18" t="str">
            <v>B200001-A25E</v>
          </cell>
          <cell r="H18" t="str">
            <v>14 400GB 7.2K SATA DRV</v>
          </cell>
          <cell r="I18">
            <v>1</v>
          </cell>
          <cell r="M18">
            <v>7718</v>
          </cell>
          <cell r="N18">
            <v>0</v>
          </cell>
          <cell r="O18">
            <v>7718</v>
          </cell>
          <cell r="P18">
            <v>5110</v>
          </cell>
          <cell r="Q18">
            <v>0.33791137600414611</v>
          </cell>
          <cell r="R18">
            <v>0.33791137600414611</v>
          </cell>
        </row>
        <row r="19">
          <cell r="A19">
            <v>9</v>
          </cell>
          <cell r="B19" t="str">
            <v>FLC200</v>
          </cell>
          <cell r="C19">
            <v>0</v>
          </cell>
          <cell r="D19">
            <v>4</v>
          </cell>
          <cell r="E19">
            <v>0</v>
          </cell>
          <cell r="F19">
            <v>9</v>
          </cell>
          <cell r="G19" t="str">
            <v>B200001-ALRM</v>
          </cell>
          <cell r="H19" t="str">
            <v>AUDIBLE ALARM</v>
          </cell>
          <cell r="I19">
            <v>1</v>
          </cell>
          <cell r="M19">
            <v>0</v>
          </cell>
          <cell r="N19"/>
          <cell r="O19">
            <v>0</v>
          </cell>
          <cell r="P19">
            <v>4</v>
          </cell>
          <cell r="Q19">
            <v>0</v>
          </cell>
          <cell r="R19">
            <v>0</v>
          </cell>
        </row>
        <row r="20">
          <cell r="A20">
            <v>10</v>
          </cell>
          <cell r="B20" t="str">
            <v>FLC200</v>
          </cell>
          <cell r="C20">
            <v>117</v>
          </cell>
          <cell r="D20">
            <v>201</v>
          </cell>
          <cell r="E20">
            <v>117</v>
          </cell>
          <cell r="F20">
            <v>10</v>
          </cell>
          <cell r="G20" t="str">
            <v>B200001-AR01</v>
          </cell>
          <cell r="H20" t="str">
            <v>ADJUSTABLE RACK RAILS</v>
          </cell>
          <cell r="I20">
            <v>1</v>
          </cell>
          <cell r="M20">
            <v>117</v>
          </cell>
          <cell r="N20">
            <v>0</v>
          </cell>
          <cell r="O20">
            <v>117</v>
          </cell>
          <cell r="P20">
            <v>201</v>
          </cell>
          <cell r="Q20">
            <v>-0.71794871794871784</v>
          </cell>
          <cell r="R20">
            <v>-0.71794871794871784</v>
          </cell>
        </row>
        <row r="21">
          <cell r="A21">
            <v>10</v>
          </cell>
          <cell r="B21"/>
          <cell r="C21"/>
          <cell r="D21"/>
          <cell r="E21"/>
          <cell r="F21">
            <v>10</v>
          </cell>
          <cell r="H21"/>
          <cell r="M21"/>
          <cell r="N21"/>
          <cell r="O21"/>
          <cell r="P21"/>
          <cell r="Q21">
            <v>0</v>
          </cell>
          <cell r="R21">
            <v>0</v>
          </cell>
        </row>
        <row r="22">
          <cell r="A22">
            <v>11</v>
          </cell>
          <cell r="B22" t="str">
            <v>FLA300</v>
          </cell>
          <cell r="C22">
            <v>15435</v>
          </cell>
          <cell r="D22">
            <v>4326</v>
          </cell>
          <cell r="E22">
            <v>15435</v>
          </cell>
          <cell r="F22">
            <v>11</v>
          </cell>
          <cell r="G22" t="str">
            <v>FLA3001-F46E</v>
          </cell>
          <cell r="H22" t="str">
            <v>14 146GB 10K FIBRE DRIVES</v>
          </cell>
          <cell r="I22">
            <v>1</v>
          </cell>
          <cell r="M22">
            <v>15435</v>
          </cell>
          <cell r="N22">
            <v>0</v>
          </cell>
          <cell r="O22">
            <v>15435</v>
          </cell>
          <cell r="P22">
            <v>4326</v>
          </cell>
          <cell r="Q22">
            <v>0.71972789115646263</v>
          </cell>
          <cell r="R22">
            <v>0.71972789115646263</v>
          </cell>
        </row>
        <row r="23">
          <cell r="A23">
            <v>11</v>
          </cell>
          <cell r="B23"/>
          <cell r="C23"/>
          <cell r="D23"/>
          <cell r="E23"/>
          <cell r="F23">
            <v>11</v>
          </cell>
          <cell r="H23"/>
          <cell r="M23"/>
          <cell r="N23"/>
          <cell r="O23"/>
          <cell r="P23"/>
          <cell r="Q23">
            <v>0</v>
          </cell>
          <cell r="R23">
            <v>0</v>
          </cell>
        </row>
        <row r="24">
          <cell r="A24">
            <v>11</v>
          </cell>
          <cell r="B24"/>
          <cell r="C24"/>
          <cell r="D24"/>
          <cell r="E24"/>
          <cell r="F24">
            <v>11</v>
          </cell>
          <cell r="H24"/>
          <cell r="M24"/>
          <cell r="N24"/>
          <cell r="O24"/>
          <cell r="P24"/>
          <cell r="Q24">
            <v>0</v>
          </cell>
          <cell r="R24">
            <v>0</v>
          </cell>
        </row>
        <row r="25">
          <cell r="A25">
            <v>12</v>
          </cell>
          <cell r="B25" t="str">
            <v>FLA200</v>
          </cell>
          <cell r="C25">
            <v>3772</v>
          </cell>
          <cell r="D25">
            <v>2473</v>
          </cell>
          <cell r="E25">
            <v>3772</v>
          </cell>
          <cell r="F25">
            <v>12</v>
          </cell>
          <cell r="G25" t="str">
            <v>D200014-0000</v>
          </cell>
          <cell r="H25" t="str">
            <v>14 SLOT 2GB DISK DRIVE MODULE</v>
          </cell>
          <cell r="I25">
            <v>1</v>
          </cell>
          <cell r="M25">
            <v>3772</v>
          </cell>
          <cell r="N25">
            <v>0</v>
          </cell>
          <cell r="O25">
            <v>3772</v>
          </cell>
          <cell r="P25">
            <v>2473</v>
          </cell>
          <cell r="Q25">
            <v>0.34437963944856842</v>
          </cell>
          <cell r="R25">
            <v>0.34437963944856842</v>
          </cell>
        </row>
        <row r="26">
          <cell r="A26">
            <v>13</v>
          </cell>
          <cell r="B26" t="str">
            <v>FLA200</v>
          </cell>
          <cell r="C26">
            <v>0</v>
          </cell>
          <cell r="D26">
            <v>0</v>
          </cell>
          <cell r="E26">
            <v>0</v>
          </cell>
          <cell r="F26">
            <v>13</v>
          </cell>
          <cell r="G26" t="str">
            <v>D200014-9901</v>
          </cell>
          <cell r="H26" t="str">
            <v>RACK MOUNTING</v>
          </cell>
          <cell r="I26">
            <v>1</v>
          </cell>
          <cell r="M26">
            <v>0</v>
          </cell>
          <cell r="N26"/>
          <cell r="O26">
            <v>0</v>
          </cell>
          <cell r="P26">
            <v>0</v>
          </cell>
          <cell r="Q26">
            <v>0</v>
          </cell>
          <cell r="R26">
            <v>0</v>
          </cell>
        </row>
        <row r="27">
          <cell r="A27">
            <v>14</v>
          </cell>
          <cell r="B27" t="str">
            <v>FLA200</v>
          </cell>
          <cell r="C27">
            <v>0</v>
          </cell>
          <cell r="D27">
            <v>4</v>
          </cell>
          <cell r="E27">
            <v>0</v>
          </cell>
          <cell r="F27">
            <v>14</v>
          </cell>
          <cell r="G27" t="str">
            <v>D200014-ALRM</v>
          </cell>
          <cell r="H27" t="str">
            <v>AUDIBLE ALARM</v>
          </cell>
          <cell r="I27">
            <v>1</v>
          </cell>
          <cell r="M27">
            <v>0</v>
          </cell>
          <cell r="N27"/>
          <cell r="O27">
            <v>0</v>
          </cell>
          <cell r="P27">
            <v>4</v>
          </cell>
          <cell r="Q27">
            <v>0</v>
          </cell>
          <cell r="R27">
            <v>0</v>
          </cell>
        </row>
        <row r="28">
          <cell r="A28">
            <v>15</v>
          </cell>
          <cell r="B28" t="str">
            <v>FLA200</v>
          </cell>
          <cell r="C28">
            <v>117</v>
          </cell>
          <cell r="D28">
            <v>201</v>
          </cell>
          <cell r="E28">
            <v>117</v>
          </cell>
          <cell r="F28">
            <v>15</v>
          </cell>
          <cell r="G28" t="str">
            <v>D200014-AR01</v>
          </cell>
          <cell r="H28" t="str">
            <v>ADJUSTABLE RACK RAILS</v>
          </cell>
          <cell r="I28">
            <v>1</v>
          </cell>
          <cell r="M28">
            <v>117</v>
          </cell>
          <cell r="N28">
            <v>0</v>
          </cell>
          <cell r="O28">
            <v>117</v>
          </cell>
          <cell r="P28">
            <v>201</v>
          </cell>
          <cell r="Q28">
            <v>-0.71794871794871784</v>
          </cell>
          <cell r="R28">
            <v>-0.71794871794871784</v>
          </cell>
        </row>
        <row r="29">
          <cell r="A29">
            <v>16</v>
          </cell>
          <cell r="B29" t="str">
            <v>FLA200</v>
          </cell>
          <cell r="C29">
            <v>15435</v>
          </cell>
          <cell r="D29">
            <v>4326</v>
          </cell>
          <cell r="E29">
            <v>15435</v>
          </cell>
          <cell r="F29">
            <v>16</v>
          </cell>
          <cell r="G29" t="str">
            <v>D200014-F46E</v>
          </cell>
          <cell r="H29" t="str">
            <v>14 146GB 10K FIBRE DRIVES</v>
          </cell>
          <cell r="I29">
            <v>1</v>
          </cell>
          <cell r="M29">
            <v>15435</v>
          </cell>
          <cell r="N29">
            <v>0</v>
          </cell>
          <cell r="O29">
            <v>15435</v>
          </cell>
          <cell r="P29">
            <v>4326</v>
          </cell>
          <cell r="Q29">
            <v>0.71972789115646263</v>
          </cell>
          <cell r="R29">
            <v>0.71972789115646263</v>
          </cell>
        </row>
        <row r="30">
          <cell r="A30">
            <v>16</v>
          </cell>
          <cell r="B30"/>
          <cell r="C30"/>
          <cell r="D30"/>
          <cell r="E30"/>
          <cell r="F30">
            <v>16</v>
          </cell>
          <cell r="H30"/>
          <cell r="M30"/>
          <cell r="N30"/>
          <cell r="O30"/>
          <cell r="P30"/>
          <cell r="Q30">
            <v>0</v>
          </cell>
          <cell r="R30">
            <v>0</v>
          </cell>
        </row>
        <row r="31">
          <cell r="A31">
            <v>16</v>
          </cell>
          <cell r="B31"/>
          <cell r="C31"/>
          <cell r="D31"/>
          <cell r="E31"/>
          <cell r="F31">
            <v>16</v>
          </cell>
          <cell r="H31"/>
          <cell r="M31"/>
          <cell r="N31"/>
          <cell r="O31"/>
          <cell r="P31"/>
          <cell r="Q31">
            <v>0</v>
          </cell>
          <cell r="R31">
            <v>0</v>
          </cell>
        </row>
        <row r="32">
          <cell r="A32">
            <v>16</v>
          </cell>
          <cell r="B32"/>
          <cell r="C32"/>
          <cell r="D32"/>
          <cell r="E32"/>
          <cell r="F32">
            <v>16</v>
          </cell>
          <cell r="H32"/>
          <cell r="M32"/>
          <cell r="N32"/>
          <cell r="O32"/>
          <cell r="P32"/>
          <cell r="Q32">
            <v>0</v>
          </cell>
          <cell r="R32">
            <v>0</v>
          </cell>
        </row>
        <row r="33">
          <cell r="A33">
            <v>16</v>
          </cell>
          <cell r="B33"/>
          <cell r="C33"/>
          <cell r="D33"/>
          <cell r="E33"/>
          <cell r="F33">
            <v>16</v>
          </cell>
          <cell r="H33"/>
          <cell r="M33"/>
          <cell r="N33"/>
          <cell r="O33"/>
          <cell r="P33"/>
          <cell r="Q33">
            <v>0</v>
          </cell>
          <cell r="R33">
            <v>0</v>
          </cell>
        </row>
        <row r="34">
          <cell r="A34">
            <v>16</v>
          </cell>
          <cell r="B34"/>
          <cell r="C34"/>
          <cell r="D34"/>
          <cell r="E34"/>
          <cell r="F34">
            <v>16</v>
          </cell>
          <cell r="H34"/>
          <cell r="M34"/>
          <cell r="N34"/>
          <cell r="O34"/>
          <cell r="P34"/>
          <cell r="Q34">
            <v>0</v>
          </cell>
          <cell r="R34">
            <v>0</v>
          </cell>
        </row>
        <row r="35">
          <cell r="A35">
            <v>16</v>
          </cell>
          <cell r="B35"/>
          <cell r="C35"/>
          <cell r="D35"/>
          <cell r="E35"/>
          <cell r="F35">
            <v>16</v>
          </cell>
          <cell r="H35"/>
          <cell r="M35"/>
          <cell r="N35"/>
          <cell r="O35"/>
          <cell r="P35"/>
          <cell r="Q35">
            <v>0</v>
          </cell>
          <cell r="R35">
            <v>0</v>
          </cell>
        </row>
        <row r="36">
          <cell r="A36">
            <v>16</v>
          </cell>
          <cell r="B36"/>
          <cell r="C36"/>
          <cell r="D36"/>
          <cell r="E36"/>
          <cell r="F36">
            <v>16</v>
          </cell>
          <cell r="H36"/>
          <cell r="M36"/>
          <cell r="N36"/>
          <cell r="O36"/>
          <cell r="P36"/>
          <cell r="Q36">
            <v>0</v>
          </cell>
          <cell r="R36">
            <v>0</v>
          </cell>
        </row>
        <row r="37">
          <cell r="A37">
            <v>16</v>
          </cell>
          <cell r="B37"/>
          <cell r="C37"/>
          <cell r="D37"/>
          <cell r="E37"/>
          <cell r="F37">
            <v>16</v>
          </cell>
          <cell r="H37"/>
          <cell r="M37"/>
          <cell r="N37"/>
          <cell r="O37"/>
          <cell r="P37"/>
          <cell r="Q37">
            <v>0</v>
          </cell>
          <cell r="R37">
            <v>0</v>
          </cell>
        </row>
        <row r="38">
          <cell r="A38">
            <v>16</v>
          </cell>
          <cell r="B38"/>
          <cell r="C38"/>
          <cell r="D38"/>
          <cell r="E38"/>
          <cell r="F38">
            <v>16</v>
          </cell>
          <cell r="H38"/>
          <cell r="M38"/>
          <cell r="N38"/>
          <cell r="O38"/>
          <cell r="P38"/>
          <cell r="Q38">
            <v>0</v>
          </cell>
          <cell r="R38">
            <v>0</v>
          </cell>
        </row>
        <row r="39">
          <cell r="A39">
            <v>16</v>
          </cell>
          <cell r="B39"/>
          <cell r="C39"/>
          <cell r="D39"/>
          <cell r="E39"/>
          <cell r="F39">
            <v>16</v>
          </cell>
          <cell r="H39"/>
          <cell r="M39"/>
          <cell r="N39"/>
          <cell r="O39"/>
          <cell r="P39"/>
          <cell r="Q39">
            <v>0</v>
          </cell>
          <cell r="R39">
            <v>0</v>
          </cell>
        </row>
        <row r="40">
          <cell r="A40">
            <v>16</v>
          </cell>
          <cell r="B40"/>
          <cell r="C40"/>
          <cell r="D40"/>
          <cell r="E40"/>
          <cell r="F40">
            <v>16</v>
          </cell>
          <cell r="H40"/>
          <cell r="M40"/>
          <cell r="N40"/>
          <cell r="O40"/>
          <cell r="P40"/>
          <cell r="Q40">
            <v>0</v>
          </cell>
          <cell r="R40">
            <v>0</v>
          </cell>
        </row>
        <row r="41">
          <cell r="A41">
            <v>16</v>
          </cell>
          <cell r="B41"/>
          <cell r="C41"/>
          <cell r="D41"/>
          <cell r="E41"/>
          <cell r="F41">
            <v>16</v>
          </cell>
          <cell r="H41"/>
          <cell r="M41"/>
          <cell r="N41"/>
          <cell r="O41"/>
          <cell r="P41"/>
          <cell r="Q41">
            <v>0</v>
          </cell>
          <cell r="R41">
            <v>0</v>
          </cell>
        </row>
        <row r="42">
          <cell r="A42">
            <v>16</v>
          </cell>
          <cell r="B42"/>
          <cell r="C42"/>
          <cell r="D42"/>
          <cell r="E42"/>
          <cell r="F42">
            <v>16</v>
          </cell>
          <cell r="H42"/>
          <cell r="M42"/>
          <cell r="N42"/>
          <cell r="O42"/>
          <cell r="P42"/>
          <cell r="Q42">
            <v>0</v>
          </cell>
          <cell r="R42">
            <v>0</v>
          </cell>
        </row>
        <row r="43">
          <cell r="A43">
            <v>16</v>
          </cell>
          <cell r="B43"/>
          <cell r="C43"/>
          <cell r="D43"/>
          <cell r="E43"/>
          <cell r="F43">
            <v>16</v>
          </cell>
          <cell r="H43"/>
          <cell r="M43"/>
          <cell r="N43"/>
          <cell r="O43"/>
          <cell r="P43"/>
          <cell r="Q43">
            <v>0</v>
          </cell>
          <cell r="R43">
            <v>0</v>
          </cell>
        </row>
        <row r="44">
          <cell r="A44">
            <v>16</v>
          </cell>
          <cell r="B44"/>
          <cell r="C44"/>
          <cell r="D44"/>
          <cell r="E44"/>
          <cell r="F44">
            <v>16</v>
          </cell>
          <cell r="H44"/>
          <cell r="M44"/>
          <cell r="N44"/>
          <cell r="O44"/>
          <cell r="P44"/>
          <cell r="Q44">
            <v>0</v>
          </cell>
          <cell r="R44">
            <v>0</v>
          </cell>
        </row>
        <row r="45">
          <cell r="A45">
            <v>16</v>
          </cell>
          <cell r="B45"/>
          <cell r="C45"/>
          <cell r="D45"/>
          <cell r="E45"/>
          <cell r="F45">
            <v>16</v>
          </cell>
          <cell r="H45"/>
          <cell r="M45"/>
          <cell r="N45"/>
          <cell r="O45"/>
          <cell r="P45"/>
          <cell r="Q45">
            <v>0</v>
          </cell>
          <cell r="R45">
            <v>0</v>
          </cell>
        </row>
        <row r="46">
          <cell r="A46">
            <v>16</v>
          </cell>
          <cell r="B46"/>
          <cell r="C46"/>
          <cell r="D46"/>
          <cell r="E46"/>
          <cell r="F46">
            <v>16</v>
          </cell>
          <cell r="H46"/>
          <cell r="M46"/>
          <cell r="N46"/>
          <cell r="O46"/>
          <cell r="P46"/>
          <cell r="Q46">
            <v>0</v>
          </cell>
          <cell r="R46">
            <v>0</v>
          </cell>
        </row>
        <row r="47">
          <cell r="A47">
            <v>16</v>
          </cell>
          <cell r="B47"/>
          <cell r="C47"/>
          <cell r="D47"/>
          <cell r="E47"/>
          <cell r="F47">
            <v>16</v>
          </cell>
          <cell r="H47"/>
          <cell r="M47"/>
          <cell r="N47"/>
          <cell r="O47"/>
          <cell r="P47"/>
          <cell r="Q47">
            <v>0</v>
          </cell>
          <cell r="R47">
            <v>0</v>
          </cell>
        </row>
        <row r="48">
          <cell r="A48">
            <v>16</v>
          </cell>
          <cell r="B48"/>
          <cell r="C48"/>
          <cell r="D48"/>
          <cell r="E48"/>
          <cell r="F48">
            <v>16</v>
          </cell>
          <cell r="H48"/>
          <cell r="M48"/>
          <cell r="N48"/>
          <cell r="O48"/>
          <cell r="P48"/>
          <cell r="Q48">
            <v>0</v>
          </cell>
          <cell r="R48">
            <v>0</v>
          </cell>
        </row>
        <row r="49">
          <cell r="A49">
            <v>16</v>
          </cell>
          <cell r="B49"/>
          <cell r="C49"/>
          <cell r="D49"/>
          <cell r="E49"/>
          <cell r="F49">
            <v>16</v>
          </cell>
          <cell r="H49"/>
          <cell r="M49"/>
          <cell r="N49"/>
          <cell r="O49"/>
          <cell r="P49"/>
          <cell r="Q49">
            <v>0</v>
          </cell>
          <cell r="R49">
            <v>0</v>
          </cell>
        </row>
        <row r="50">
          <cell r="A50">
            <v>16</v>
          </cell>
          <cell r="B50"/>
          <cell r="C50"/>
          <cell r="D50"/>
          <cell r="E50"/>
          <cell r="F50">
            <v>16</v>
          </cell>
          <cell r="H50"/>
          <cell r="M50"/>
          <cell r="N50"/>
          <cell r="O50"/>
          <cell r="P50"/>
          <cell r="Q50">
            <v>0</v>
          </cell>
          <cell r="R50">
            <v>0</v>
          </cell>
        </row>
        <row r="51">
          <cell r="A51">
            <v>16</v>
          </cell>
          <cell r="B51"/>
          <cell r="C51"/>
          <cell r="D51"/>
          <cell r="E51"/>
          <cell r="F51">
            <v>16</v>
          </cell>
          <cell r="H51"/>
          <cell r="M51"/>
          <cell r="N51"/>
          <cell r="O51"/>
          <cell r="P51"/>
          <cell r="Q51">
            <v>0</v>
          </cell>
          <cell r="R51">
            <v>0</v>
          </cell>
        </row>
        <row r="52">
          <cell r="A52">
            <v>16</v>
          </cell>
          <cell r="B52"/>
          <cell r="C52"/>
          <cell r="D52"/>
          <cell r="E52"/>
          <cell r="F52">
            <v>16</v>
          </cell>
          <cell r="H52"/>
          <cell r="M52"/>
          <cell r="N52"/>
          <cell r="O52"/>
          <cell r="P52"/>
          <cell r="Q52">
            <v>0</v>
          </cell>
          <cell r="R52">
            <v>0</v>
          </cell>
        </row>
        <row r="53">
          <cell r="A53">
            <v>16</v>
          </cell>
          <cell r="B53"/>
          <cell r="C53"/>
          <cell r="D53"/>
          <cell r="E53"/>
          <cell r="F53">
            <v>16</v>
          </cell>
          <cell r="H53"/>
          <cell r="M53"/>
          <cell r="N53"/>
          <cell r="O53"/>
          <cell r="P53"/>
          <cell r="Q53">
            <v>0</v>
          </cell>
          <cell r="R53">
            <v>0</v>
          </cell>
        </row>
        <row r="54">
          <cell r="A54">
            <v>16</v>
          </cell>
          <cell r="B54"/>
          <cell r="C54"/>
          <cell r="D54"/>
          <cell r="E54"/>
          <cell r="F54">
            <v>16</v>
          </cell>
          <cell r="H54"/>
          <cell r="M54"/>
          <cell r="N54"/>
          <cell r="O54"/>
          <cell r="P54"/>
          <cell r="Q54">
            <v>0</v>
          </cell>
          <cell r="R54">
            <v>0</v>
          </cell>
        </row>
        <row r="55">
          <cell r="A55">
            <v>16</v>
          </cell>
          <cell r="B55"/>
          <cell r="C55"/>
          <cell r="D55"/>
          <cell r="E55"/>
          <cell r="F55">
            <v>16</v>
          </cell>
          <cell r="H55"/>
          <cell r="M55"/>
          <cell r="N55"/>
          <cell r="O55"/>
          <cell r="P55"/>
          <cell r="Q55">
            <v>0</v>
          </cell>
          <cell r="R55">
            <v>0</v>
          </cell>
        </row>
        <row r="56">
          <cell r="A56">
            <v>16</v>
          </cell>
          <cell r="B56"/>
          <cell r="C56"/>
          <cell r="D56"/>
          <cell r="E56"/>
          <cell r="F56">
            <v>16</v>
          </cell>
          <cell r="H56"/>
          <cell r="M56"/>
          <cell r="N56"/>
          <cell r="O56"/>
          <cell r="P56"/>
          <cell r="Q56">
            <v>0</v>
          </cell>
          <cell r="R56">
            <v>0</v>
          </cell>
        </row>
        <row r="57">
          <cell r="A57">
            <v>16</v>
          </cell>
          <cell r="B57"/>
          <cell r="C57"/>
          <cell r="D57"/>
          <cell r="E57"/>
          <cell r="F57">
            <v>16</v>
          </cell>
          <cell r="H57"/>
          <cell r="M57"/>
          <cell r="N57"/>
          <cell r="O57"/>
          <cell r="P57"/>
          <cell r="Q57">
            <v>0</v>
          </cell>
          <cell r="R57">
            <v>0</v>
          </cell>
        </row>
        <row r="58">
          <cell r="A58">
            <v>16</v>
          </cell>
          <cell r="B58"/>
          <cell r="C58"/>
          <cell r="D58"/>
          <cell r="E58"/>
          <cell r="F58">
            <v>16</v>
          </cell>
          <cell r="H58"/>
          <cell r="M58"/>
          <cell r="N58"/>
          <cell r="O58"/>
          <cell r="P58"/>
          <cell r="Q58">
            <v>0</v>
          </cell>
          <cell r="R58">
            <v>0</v>
          </cell>
        </row>
        <row r="59">
          <cell r="A59">
            <v>16</v>
          </cell>
          <cell r="B59"/>
          <cell r="C59"/>
          <cell r="D59"/>
          <cell r="E59"/>
          <cell r="F59">
            <v>16</v>
          </cell>
          <cell r="H59"/>
          <cell r="M59"/>
          <cell r="N59"/>
          <cell r="O59"/>
          <cell r="P59"/>
          <cell r="Q59">
            <v>0</v>
          </cell>
          <cell r="R59">
            <v>0</v>
          </cell>
        </row>
        <row r="60">
          <cell r="A60">
            <v>16</v>
          </cell>
          <cell r="B60"/>
          <cell r="C60"/>
          <cell r="D60"/>
          <cell r="E60"/>
          <cell r="F60">
            <v>16</v>
          </cell>
          <cell r="H60"/>
          <cell r="M60"/>
          <cell r="N60"/>
          <cell r="O60"/>
          <cell r="P60"/>
          <cell r="Q60">
            <v>0</v>
          </cell>
          <cell r="R60">
            <v>0</v>
          </cell>
        </row>
        <row r="61">
          <cell r="A61">
            <v>16</v>
          </cell>
          <cell r="B61"/>
          <cell r="C61"/>
          <cell r="D61"/>
          <cell r="E61"/>
          <cell r="F61">
            <v>16</v>
          </cell>
          <cell r="H61"/>
          <cell r="M61"/>
          <cell r="N61"/>
          <cell r="O61"/>
          <cell r="P61"/>
          <cell r="Q61">
            <v>0</v>
          </cell>
          <cell r="R61">
            <v>0</v>
          </cell>
        </row>
        <row r="62">
          <cell r="A62">
            <v>16</v>
          </cell>
          <cell r="B62"/>
          <cell r="C62"/>
          <cell r="D62"/>
          <cell r="E62"/>
          <cell r="F62">
            <v>16</v>
          </cell>
          <cell r="H62"/>
          <cell r="M62"/>
          <cell r="N62"/>
          <cell r="O62"/>
          <cell r="P62"/>
          <cell r="Q62">
            <v>0</v>
          </cell>
          <cell r="R62">
            <v>0</v>
          </cell>
        </row>
        <row r="63">
          <cell r="A63">
            <v>16</v>
          </cell>
          <cell r="B63"/>
          <cell r="C63"/>
          <cell r="D63"/>
          <cell r="E63"/>
          <cell r="F63">
            <v>16</v>
          </cell>
          <cell r="H63"/>
          <cell r="M63"/>
          <cell r="N63"/>
          <cell r="O63"/>
          <cell r="P63"/>
          <cell r="Q63">
            <v>0</v>
          </cell>
          <cell r="R63">
            <v>0</v>
          </cell>
        </row>
        <row r="64">
          <cell r="A64">
            <v>16</v>
          </cell>
          <cell r="B64"/>
          <cell r="C64"/>
          <cell r="D64"/>
          <cell r="E64"/>
          <cell r="F64">
            <v>16</v>
          </cell>
          <cell r="H64"/>
          <cell r="M64"/>
          <cell r="N64"/>
          <cell r="O64"/>
          <cell r="P64"/>
          <cell r="Q64">
            <v>0</v>
          </cell>
          <cell r="R64">
            <v>0</v>
          </cell>
        </row>
        <row r="65">
          <cell r="A65">
            <v>16</v>
          </cell>
          <cell r="B65"/>
          <cell r="C65"/>
          <cell r="D65"/>
          <cell r="E65"/>
          <cell r="F65">
            <v>16</v>
          </cell>
          <cell r="H65"/>
          <cell r="M65"/>
          <cell r="N65"/>
          <cell r="O65"/>
          <cell r="P65"/>
          <cell r="Q65">
            <v>0</v>
          </cell>
          <cell r="R65">
            <v>0</v>
          </cell>
        </row>
        <row r="66">
          <cell r="A66">
            <v>16</v>
          </cell>
          <cell r="B66"/>
          <cell r="C66"/>
          <cell r="D66"/>
          <cell r="E66"/>
          <cell r="F66">
            <v>16</v>
          </cell>
          <cell r="H66"/>
          <cell r="M66"/>
          <cell r="N66"/>
          <cell r="O66"/>
          <cell r="P66"/>
          <cell r="Q66">
            <v>0</v>
          </cell>
          <cell r="R66">
            <v>0</v>
          </cell>
        </row>
        <row r="67">
          <cell r="A67">
            <v>16</v>
          </cell>
          <cell r="B67"/>
          <cell r="C67"/>
          <cell r="D67"/>
          <cell r="E67"/>
          <cell r="F67">
            <v>16</v>
          </cell>
          <cell r="H67"/>
          <cell r="M67"/>
          <cell r="N67"/>
          <cell r="O67"/>
          <cell r="P67"/>
          <cell r="Q67">
            <v>0</v>
          </cell>
          <cell r="R67">
            <v>0</v>
          </cell>
        </row>
        <row r="68">
          <cell r="A68">
            <v>16</v>
          </cell>
          <cell r="B68"/>
          <cell r="C68"/>
          <cell r="D68"/>
          <cell r="E68"/>
          <cell r="F68">
            <v>16</v>
          </cell>
          <cell r="H68"/>
          <cell r="M68"/>
          <cell r="N68"/>
          <cell r="O68"/>
          <cell r="P68"/>
          <cell r="Q68">
            <v>0</v>
          </cell>
          <cell r="R68">
            <v>0</v>
          </cell>
        </row>
        <row r="69">
          <cell r="A69">
            <v>16</v>
          </cell>
          <cell r="B69"/>
          <cell r="C69"/>
          <cell r="D69"/>
          <cell r="E69"/>
          <cell r="F69">
            <v>16</v>
          </cell>
          <cell r="H69"/>
          <cell r="M69"/>
          <cell r="N69"/>
          <cell r="O69"/>
          <cell r="P69"/>
          <cell r="Q69">
            <v>0</v>
          </cell>
          <cell r="R69">
            <v>0</v>
          </cell>
        </row>
        <row r="70">
          <cell r="A70">
            <v>16</v>
          </cell>
          <cell r="B70"/>
          <cell r="C70"/>
          <cell r="D70"/>
          <cell r="E70"/>
          <cell r="F70">
            <v>16</v>
          </cell>
          <cell r="H70"/>
          <cell r="M70"/>
          <cell r="N70"/>
          <cell r="O70"/>
          <cell r="P70"/>
          <cell r="Q70">
            <v>0</v>
          </cell>
          <cell r="R70">
            <v>0</v>
          </cell>
        </row>
        <row r="71">
          <cell r="A71">
            <v>16</v>
          </cell>
          <cell r="B71"/>
          <cell r="C71"/>
          <cell r="D71"/>
          <cell r="E71"/>
          <cell r="F71">
            <v>16</v>
          </cell>
          <cell r="H71"/>
          <cell r="M71"/>
          <cell r="N71"/>
          <cell r="O71"/>
          <cell r="P71"/>
          <cell r="Q71">
            <v>0</v>
          </cell>
          <cell r="R71">
            <v>0</v>
          </cell>
        </row>
        <row r="72">
          <cell r="A72">
            <v>16</v>
          </cell>
          <cell r="B72"/>
          <cell r="C72"/>
          <cell r="D72"/>
          <cell r="E72"/>
          <cell r="F72">
            <v>16</v>
          </cell>
          <cell r="H72"/>
          <cell r="M72"/>
          <cell r="N72"/>
          <cell r="O72"/>
          <cell r="P72"/>
          <cell r="Q72">
            <v>0</v>
          </cell>
          <cell r="R72">
            <v>0</v>
          </cell>
        </row>
        <row r="73">
          <cell r="A73">
            <v>16</v>
          </cell>
          <cell r="B73"/>
          <cell r="C73"/>
          <cell r="D73"/>
          <cell r="E73"/>
          <cell r="F73">
            <v>16</v>
          </cell>
          <cell r="H73"/>
          <cell r="M73"/>
          <cell r="N73"/>
          <cell r="O73"/>
          <cell r="P73"/>
          <cell r="Q73">
            <v>0</v>
          </cell>
          <cell r="R73">
            <v>0</v>
          </cell>
        </row>
        <row r="74">
          <cell r="A74">
            <v>16</v>
          </cell>
          <cell r="B74"/>
          <cell r="C74"/>
          <cell r="D74"/>
          <cell r="E74"/>
          <cell r="F74">
            <v>16</v>
          </cell>
          <cell r="H74"/>
          <cell r="M74"/>
          <cell r="N74"/>
          <cell r="O74"/>
          <cell r="P74"/>
          <cell r="Q74">
            <v>0</v>
          </cell>
          <cell r="R74">
            <v>0</v>
          </cell>
        </row>
      </sheetData>
      <sheetData sheetId="2" refreshError="1"/>
      <sheetData sheetId="3" refreshError="1"/>
      <sheetData sheetId="4" refreshError="1"/>
      <sheetData sheetId="5" refreshError="1"/>
    </sheetDataSet>
  </externalBook>
</externalLink>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allah A.Jaber" refreshedDate="45693.624247916669" backgroundQuery="1" createdVersion="8" refreshedVersion="8" minRefreshableVersion="3" recordCount="0" supportSubquery="1" supportAdvancedDrill="1" xr:uid="{24CD0171-7555-4DA6-8DFF-8E9589542541}">
  <cacheSource type="external" connectionId="1"/>
  <cacheFields count="3">
    <cacheField name="[Measures].[Sum of QTY]" caption="Sum of QTY" numFmtId="0" hierarchy="5" level="32767"/>
    <cacheField name="[Range].[PART NUMBER].[PART NUMBER]" caption="PART NUMBER" numFmtId="0" level="1">
      <sharedItems count="16">
        <s v="ANMAT - PS"/>
        <s v="Jabra_x000a_7510-109"/>
        <s v="Jabra_x000a_7810-209"/>
        <s v="Logitech 952-000091"/>
        <s v="Logitech 960-001681"/>
        <s v="Logitech_x000a_939-001647"/>
        <s v="Logitech_x000a_939-001950"/>
        <s v="Logitech_x000a_952-000041"/>
        <s v="Logitech_x000a_952-000047"/>
        <s v="Logitech_x000a_960-001312"/>
        <s v="Logitech_x000a_960-001340"/>
        <s v="Logitech_x000a_960-001510"/>
        <s v="Logitech_x000a_989-000430"/>
        <s v="Samsung QM75C"/>
        <s v="SAMSUNG QM98T"/>
        <s v="Vogel's PFW 6852"/>
      </sharedItems>
    </cacheField>
    <cacheField name="[Range].[DESCRIPTION].[DESCRIPTION]" caption="DESCRIPTION" numFmtId="0" hierarchy="1" level="1">
      <sharedItems count="16" longText="1">
        <s v="System installation, configuration &amp; commissioning without civil works"/>
        <s v="Jabra SPEAK™ 510 MS Speakerphone for UC &amp; BT, USB Conference solution, 360-degree-microphone, Plug&amp;Play, mute and volume button, Wideband, Bluetooth (up to 100 meters), Microsoft optimized Version B: incl. Smart Button activated via Jabra"/>
        <s v="Jabra SPEAK™ 810 Speakerphone, best in Class Audio Conference Solution for medium sized meeting rooms up to 15 people, USB-BT-3.5mm AUX connections, powerful loudspeaker, ZoomTalk microphones (6), Plug&amp;Play, mute and volume button, USB cha"/>
        <s v="Logitech Tap Scheduler - GRAPHITE - USB - N/A - WW-9004 - TOUCH SCREEN"/>
        <s v="WEBCAM - MeetUp 2 - GRAPHITE - USB _x000a_- PLUGCG - (Do Not Use) WW-9006 - UK/EU"/>
        <s v="Logitech Rally Mic Pod Hub for the Logitech Rally Ultra-HD ConferenceCam - GRAPHITE - USB - N/A - WW-9004 - MIC SPLITTER"/>
        <s v="Logitech Tap with Cat5e Kit - NA - USB - N/A - WW-9004 - WITH RAICHU"/>
        <s v="TV Mount for Video Bars - N/A - N/A - N/A - WW-9004 - TV MOUNT"/>
        <s v="Rally Mic Pod Extension Cable - OFF-WHITE - USB - N/A - WW-9004 - 10M EXTENSION CABLE"/>
        <s v="WEBCAM - Logitech Rally Bar - GRAPHITE - USB - PLUGG - EMEA-914 - UK/HK"/>
        <s v="WEBCAM - Logitech Rally Bar Mini - GRAPHITE - USB - PLUGG - EMEA-914 - UK/HK"/>
        <s v="WEBCAM - Logitech Sight - GRAPHITE - USB - N/A - WW-9004 - WEBCAM"/>
        <s v="Rally Mic Pod accessory for the Logitech Rally Ultra-HD ConferenceCam - GRAPHITE - USB - N/A - WW-9004"/>
        <s v="UHD Signage Display, Slim &amp; Light Signage with Built-in MagicInfo S6, SSSP 6.0_x000a_Temperature Sensor,Pivot Display,_x000a_Clock Battery(168hrs Clock Keeping),_x000a_Built in Speaker(10W 2ch), Video_x000a_Wall Daisy Chain(HDCP2.2:4EA,HDCP1.4:_x000a_7EA), IP5x Rating, Wi-Fi/BT"/>
        <s v="98-INCH 60Hz Edge LED BLU, UHD (3840 x 2160), 500 nits, 24/7 operation, Signage Display Slim &amp; Light Signage with Built-in MagicInfo S6, SSSP 6.0, Temperature Sensor,Pivot Display, Clock Battery(168hrs Clock Keeping), Built in Speaker(10W 2ch), Video Wall Daisy Chain(HDCP2.2:4EA,HDCP1.4:7EA), Wi-Fi/BT S/W : Auto Source Switching &amp; Recovery, LFD Home UI, Button Lock, Hot key option, Plug&amp;Play (Initial Setting), 802.1x(WPA2 Enterprise) Certified"/>
        <s v="Supports displays up to 136 kg (300 lbs). Typically fits displays larger than 40 inches. Extends up to 66 cm from the wall. Allows up to 90° of swivel to both sides. Provides a tilt range of -10° to +10°. Supports landscape orientation. TÜV certified for quality and safety"/>
      </sharedItems>
    </cacheField>
  </cacheFields>
  <cacheHierarchies count="6">
    <cacheHierarchy uniqueName="[Range].[PART NUMBER]" caption="PART NUMBER" attribute="1" defaultMemberUniqueName="[Range].[PART NUMBER].[All]" allUniqueName="[Range].[PART NUMBER].[All]" dimensionUniqueName="[Range]" displayFolder="" count="2" memberValueDatatype="130" unbalanced="0">
      <fieldsUsage count="2">
        <fieldUsage x="-1"/>
        <fieldUsage x="1"/>
      </fieldsUsage>
    </cacheHierarchy>
    <cacheHierarchy uniqueName="[Range].[DESCRIPTION]" caption="DESCRIPTION" attribute="1" defaultMemberUniqueName="[Range].[DESCRIPTION].[All]" allUniqueName="[Range].[DESCRIPTION].[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caption="Sum of QTY" measure="1" displayFolder="" measureGroup="Range" count="0" oneField="1" hidden="1">
      <fieldsUsage count="1">
        <fieldUsage x="0"/>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11C36A-3C48-4C32-B7D9-8ACD9151E9B2}"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20" firstHeaderRow="1" firstDataRow="1" firstDataCol="2"/>
  <pivotFields count="3">
    <pivotField dataField="1" compact="0" outline="0" subtotalTop="0" showAll="0" defaultSubtotal="0"/>
    <pivotField axis="axisRow" compact="0" allDrilled="1" outline="0" showAll="0" sortType="ascending" dataSourceSort="1" defaultSubtotal="0" defaultAttributeDrillState="1">
      <items count="16">
        <item x="0"/>
        <item x="1"/>
        <item x="2"/>
        <item x="3"/>
        <item x="4"/>
        <item x="5"/>
        <item x="6"/>
        <item x="7"/>
        <item x="8"/>
        <item x="9"/>
        <item x="10"/>
        <item x="11"/>
        <item x="12"/>
        <item x="13"/>
        <item x="14"/>
        <item x="15"/>
      </items>
    </pivotField>
    <pivotField axis="axisRow" compact="0" allDrilled="1" outline="0" showAll="0" dataSourceSort="1" defaultAttributeDrillState="1">
      <items count="17">
        <item x="0"/>
        <item x="1"/>
        <item x="2"/>
        <item x="3"/>
        <item x="4"/>
        <item x="5"/>
        <item x="6"/>
        <item x="7"/>
        <item x="8"/>
        <item x="9"/>
        <item x="10"/>
        <item x="11"/>
        <item x="12"/>
        <item x="13"/>
        <item x="14"/>
        <item x="15"/>
        <item t="default"/>
      </items>
    </pivotField>
  </pivotFields>
  <rowFields count="2">
    <field x="1"/>
    <field x="2"/>
  </rowFields>
  <rowItems count="17">
    <i>
      <x/>
      <x/>
    </i>
    <i>
      <x v="1"/>
      <x v="1"/>
    </i>
    <i>
      <x v="2"/>
      <x v="2"/>
    </i>
    <i>
      <x v="3"/>
      <x v="3"/>
    </i>
    <i>
      <x v="4"/>
      <x v="4"/>
    </i>
    <i>
      <x v="5"/>
      <x v="5"/>
    </i>
    <i>
      <x v="6"/>
      <x v="6"/>
    </i>
    <i>
      <x v="7"/>
      <x v="7"/>
    </i>
    <i>
      <x v="8"/>
      <x v="8"/>
    </i>
    <i>
      <x v="9"/>
      <x v="9"/>
    </i>
    <i>
      <x v="10"/>
      <x v="10"/>
    </i>
    <i>
      <x v="11"/>
      <x v="11"/>
    </i>
    <i>
      <x v="12"/>
      <x v="12"/>
    </i>
    <i>
      <x v="13"/>
      <x v="13"/>
    </i>
    <i>
      <x v="14"/>
      <x v="14"/>
    </i>
    <i>
      <x v="15"/>
      <x v="15"/>
    </i>
    <i t="grand">
      <x/>
    </i>
  </rowItems>
  <colItems count="1">
    <i/>
  </colItems>
  <dataFields count="1">
    <dataField name="Sum of QTY" fld="0" baseField="0" baseItem="0"/>
  </dataFields>
  <pivotHierarchies count="6">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0"/>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Q (V2)!$B$10:$D$70">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563BF-941B-3545-B29E-BE1764E21358}">
  <sheetPr filterMode="1"/>
  <dimension ref="A1:I75"/>
  <sheetViews>
    <sheetView zoomScale="130" zoomScaleNormal="130" zoomScaleSheetLayoutView="70" zoomScalePageLayoutView="50" workbookViewId="0">
      <pane ySplit="9" topLeftCell="A29" activePane="bottomLeft" state="frozen"/>
      <selection pane="bottomLeft" activeCell="A10" sqref="A10:F75"/>
    </sheetView>
  </sheetViews>
  <sheetFormatPr defaultRowHeight="12.75" outlineLevelRow="1" x14ac:dyDescent="0.25"/>
  <cols>
    <col min="1" max="1" width="5" style="1" bestFit="1" customWidth="1"/>
    <col min="2" max="2" width="16.85546875" style="7" bestFit="1" customWidth="1"/>
    <col min="3" max="3" width="36.7109375" style="7" customWidth="1"/>
    <col min="4" max="4" width="5.7109375" style="28" bestFit="1" customWidth="1"/>
    <col min="5" max="5" width="16" style="3" bestFit="1" customWidth="1"/>
    <col min="6" max="6" width="16.5703125" style="3" bestFit="1" customWidth="1"/>
    <col min="7" max="7" width="6.5703125" style="7" customWidth="1"/>
    <col min="8" max="8" width="8.7109375" style="7"/>
    <col min="9" max="9" width="12" style="7" bestFit="1" customWidth="1"/>
    <col min="10" max="203" width="8.7109375" style="7"/>
    <col min="204" max="204" width="4.42578125" style="7" customWidth="1"/>
    <col min="205" max="205" width="13.7109375" style="7" customWidth="1"/>
    <col min="206" max="206" width="42.5703125" style="7" customWidth="1"/>
    <col min="207" max="207" width="5.85546875" style="7" bestFit="1" customWidth="1"/>
    <col min="208" max="208" width="16" style="7" bestFit="1" customWidth="1"/>
    <col min="209" max="209" width="17.140625" style="7" bestFit="1" customWidth="1"/>
    <col min="210" max="210" width="2.7109375" style="7" customWidth="1"/>
    <col min="211" max="211" width="3.140625" style="7" customWidth="1"/>
    <col min="212" max="212" width="9.7109375" style="7" customWidth="1"/>
    <col min="213" max="213" width="16.28515625" style="7" bestFit="1" customWidth="1"/>
    <col min="214" max="214" width="14.140625" style="7" customWidth="1"/>
    <col min="215" max="215" width="15.28515625" style="7" bestFit="1" customWidth="1"/>
    <col min="216" max="216" width="10.42578125" style="7" bestFit="1" customWidth="1"/>
    <col min="217" max="217" width="58" style="7" customWidth="1"/>
    <col min="218" max="459" width="8.7109375" style="7"/>
    <col min="460" max="460" width="4.42578125" style="7" customWidth="1"/>
    <col min="461" max="461" width="13.7109375" style="7" customWidth="1"/>
    <col min="462" max="462" width="42.5703125" style="7" customWidth="1"/>
    <col min="463" max="463" width="5.85546875" style="7" bestFit="1" customWidth="1"/>
    <col min="464" max="464" width="16" style="7" bestFit="1" customWidth="1"/>
    <col min="465" max="465" width="17.140625" style="7" bestFit="1" customWidth="1"/>
    <col min="466" max="466" width="2.7109375" style="7" customWidth="1"/>
    <col min="467" max="467" width="3.140625" style="7" customWidth="1"/>
    <col min="468" max="468" width="9.7109375" style="7" customWidth="1"/>
    <col min="469" max="469" width="16.28515625" style="7" bestFit="1" customWidth="1"/>
    <col min="470" max="470" width="14.140625" style="7" customWidth="1"/>
    <col min="471" max="471" width="15.28515625" style="7" bestFit="1" customWidth="1"/>
    <col min="472" max="472" width="10.42578125" style="7" bestFit="1" customWidth="1"/>
    <col min="473" max="473" width="58" style="7" customWidth="1"/>
    <col min="474" max="715" width="8.7109375" style="7"/>
    <col min="716" max="716" width="4.42578125" style="7" customWidth="1"/>
    <col min="717" max="717" width="13.7109375" style="7" customWidth="1"/>
    <col min="718" max="718" width="42.5703125" style="7" customWidth="1"/>
    <col min="719" max="719" width="5.85546875" style="7" bestFit="1" customWidth="1"/>
    <col min="720" max="720" width="16" style="7" bestFit="1" customWidth="1"/>
    <col min="721" max="721" width="17.140625" style="7" bestFit="1" customWidth="1"/>
    <col min="722" max="722" width="2.7109375" style="7" customWidth="1"/>
    <col min="723" max="723" width="3.140625" style="7" customWidth="1"/>
    <col min="724" max="724" width="9.7109375" style="7" customWidth="1"/>
    <col min="725" max="725" width="16.28515625" style="7" bestFit="1" customWidth="1"/>
    <col min="726" max="726" width="14.140625" style="7" customWidth="1"/>
    <col min="727" max="727" width="15.28515625" style="7" bestFit="1" customWidth="1"/>
    <col min="728" max="728" width="10.42578125" style="7" bestFit="1" customWidth="1"/>
    <col min="729" max="729" width="58" style="7" customWidth="1"/>
    <col min="730" max="971" width="8.7109375" style="7"/>
    <col min="972" max="972" width="4.42578125" style="7" customWidth="1"/>
    <col min="973" max="973" width="13.7109375" style="7" customWidth="1"/>
    <col min="974" max="974" width="42.5703125" style="7" customWidth="1"/>
    <col min="975" max="975" width="5.85546875" style="7" bestFit="1" customWidth="1"/>
    <col min="976" max="976" width="16" style="7" bestFit="1" customWidth="1"/>
    <col min="977" max="977" width="17.140625" style="7" bestFit="1" customWidth="1"/>
    <col min="978" max="978" width="2.7109375" style="7" customWidth="1"/>
    <col min="979" max="979" width="3.140625" style="7" customWidth="1"/>
    <col min="980" max="980" width="9.7109375" style="7" customWidth="1"/>
    <col min="981" max="981" width="16.28515625" style="7" bestFit="1" customWidth="1"/>
    <col min="982" max="982" width="14.140625" style="7" customWidth="1"/>
    <col min="983" max="983" width="15.28515625" style="7" bestFit="1" customWidth="1"/>
    <col min="984" max="984" width="10.42578125" style="7" bestFit="1" customWidth="1"/>
    <col min="985" max="985" width="58" style="7" customWidth="1"/>
    <col min="986" max="1227" width="8.7109375" style="7"/>
    <col min="1228" max="1228" width="4.42578125" style="7" customWidth="1"/>
    <col min="1229" max="1229" width="13.7109375" style="7" customWidth="1"/>
    <col min="1230" max="1230" width="42.5703125" style="7" customWidth="1"/>
    <col min="1231" max="1231" width="5.85546875" style="7" bestFit="1" customWidth="1"/>
    <col min="1232" max="1232" width="16" style="7" bestFit="1" customWidth="1"/>
    <col min="1233" max="1233" width="17.140625" style="7" bestFit="1" customWidth="1"/>
    <col min="1234" max="1234" width="2.7109375" style="7" customWidth="1"/>
    <col min="1235" max="1235" width="3.140625" style="7" customWidth="1"/>
    <col min="1236" max="1236" width="9.7109375" style="7" customWidth="1"/>
    <col min="1237" max="1237" width="16.28515625" style="7" bestFit="1" customWidth="1"/>
    <col min="1238" max="1238" width="14.140625" style="7" customWidth="1"/>
    <col min="1239" max="1239" width="15.28515625" style="7" bestFit="1" customWidth="1"/>
    <col min="1240" max="1240" width="10.42578125" style="7" bestFit="1" customWidth="1"/>
    <col min="1241" max="1241" width="58" style="7" customWidth="1"/>
    <col min="1242" max="1483" width="8.7109375" style="7"/>
    <col min="1484" max="1484" width="4.42578125" style="7" customWidth="1"/>
    <col min="1485" max="1485" width="13.7109375" style="7" customWidth="1"/>
    <col min="1486" max="1486" width="42.5703125" style="7" customWidth="1"/>
    <col min="1487" max="1487" width="5.85546875" style="7" bestFit="1" customWidth="1"/>
    <col min="1488" max="1488" width="16" style="7" bestFit="1" customWidth="1"/>
    <col min="1489" max="1489" width="17.140625" style="7" bestFit="1" customWidth="1"/>
    <col min="1490" max="1490" width="2.7109375" style="7" customWidth="1"/>
    <col min="1491" max="1491" width="3.140625" style="7" customWidth="1"/>
    <col min="1492" max="1492" width="9.7109375" style="7" customWidth="1"/>
    <col min="1493" max="1493" width="16.28515625" style="7" bestFit="1" customWidth="1"/>
    <col min="1494" max="1494" width="14.140625" style="7" customWidth="1"/>
    <col min="1495" max="1495" width="15.28515625" style="7" bestFit="1" customWidth="1"/>
    <col min="1496" max="1496" width="10.42578125" style="7" bestFit="1" customWidth="1"/>
    <col min="1497" max="1497" width="58" style="7" customWidth="1"/>
    <col min="1498" max="1739" width="8.7109375" style="7"/>
    <col min="1740" max="1740" width="4.42578125" style="7" customWidth="1"/>
    <col min="1741" max="1741" width="13.7109375" style="7" customWidth="1"/>
    <col min="1742" max="1742" width="42.5703125" style="7" customWidth="1"/>
    <col min="1743" max="1743" width="5.85546875" style="7" bestFit="1" customWidth="1"/>
    <col min="1744" max="1744" width="16" style="7" bestFit="1" customWidth="1"/>
    <col min="1745" max="1745" width="17.140625" style="7" bestFit="1" customWidth="1"/>
    <col min="1746" max="1746" width="2.7109375" style="7" customWidth="1"/>
    <col min="1747" max="1747" width="3.140625" style="7" customWidth="1"/>
    <col min="1748" max="1748" width="9.7109375" style="7" customWidth="1"/>
    <col min="1749" max="1749" width="16.28515625" style="7" bestFit="1" customWidth="1"/>
    <col min="1750" max="1750" width="14.140625" style="7" customWidth="1"/>
    <col min="1751" max="1751" width="15.28515625" style="7" bestFit="1" customWidth="1"/>
    <col min="1752" max="1752" width="10.42578125" style="7" bestFit="1" customWidth="1"/>
    <col min="1753" max="1753" width="58" style="7" customWidth="1"/>
    <col min="1754" max="1995" width="8.7109375" style="7"/>
    <col min="1996" max="1996" width="4.42578125" style="7" customWidth="1"/>
    <col min="1997" max="1997" width="13.7109375" style="7" customWidth="1"/>
    <col min="1998" max="1998" width="42.5703125" style="7" customWidth="1"/>
    <col min="1999" max="1999" width="5.85546875" style="7" bestFit="1" customWidth="1"/>
    <col min="2000" max="2000" width="16" style="7" bestFit="1" customWidth="1"/>
    <col min="2001" max="2001" width="17.140625" style="7" bestFit="1" customWidth="1"/>
    <col min="2002" max="2002" width="2.7109375" style="7" customWidth="1"/>
    <col min="2003" max="2003" width="3.140625" style="7" customWidth="1"/>
    <col min="2004" max="2004" width="9.7109375" style="7" customWidth="1"/>
    <col min="2005" max="2005" width="16.28515625" style="7" bestFit="1" customWidth="1"/>
    <col min="2006" max="2006" width="14.140625" style="7" customWidth="1"/>
    <col min="2007" max="2007" width="15.28515625" style="7" bestFit="1" customWidth="1"/>
    <col min="2008" max="2008" width="10.42578125" style="7" bestFit="1" customWidth="1"/>
    <col min="2009" max="2009" width="58" style="7" customWidth="1"/>
    <col min="2010" max="2251" width="8.7109375" style="7"/>
    <col min="2252" max="2252" width="4.42578125" style="7" customWidth="1"/>
    <col min="2253" max="2253" width="13.7109375" style="7" customWidth="1"/>
    <col min="2254" max="2254" width="42.5703125" style="7" customWidth="1"/>
    <col min="2255" max="2255" width="5.85546875" style="7" bestFit="1" customWidth="1"/>
    <col min="2256" max="2256" width="16" style="7" bestFit="1" customWidth="1"/>
    <col min="2257" max="2257" width="17.140625" style="7" bestFit="1" customWidth="1"/>
    <col min="2258" max="2258" width="2.7109375" style="7" customWidth="1"/>
    <col min="2259" max="2259" width="3.140625" style="7" customWidth="1"/>
    <col min="2260" max="2260" width="9.7109375" style="7" customWidth="1"/>
    <col min="2261" max="2261" width="16.28515625" style="7" bestFit="1" customWidth="1"/>
    <col min="2262" max="2262" width="14.140625" style="7" customWidth="1"/>
    <col min="2263" max="2263" width="15.28515625" style="7" bestFit="1" customWidth="1"/>
    <col min="2264" max="2264" width="10.42578125" style="7" bestFit="1" customWidth="1"/>
    <col min="2265" max="2265" width="58" style="7" customWidth="1"/>
    <col min="2266" max="2507" width="8.7109375" style="7"/>
    <col min="2508" max="2508" width="4.42578125" style="7" customWidth="1"/>
    <col min="2509" max="2509" width="13.7109375" style="7" customWidth="1"/>
    <col min="2510" max="2510" width="42.5703125" style="7" customWidth="1"/>
    <col min="2511" max="2511" width="5.85546875" style="7" bestFit="1" customWidth="1"/>
    <col min="2512" max="2512" width="16" style="7" bestFit="1" customWidth="1"/>
    <col min="2513" max="2513" width="17.140625" style="7" bestFit="1" customWidth="1"/>
    <col min="2514" max="2514" width="2.7109375" style="7" customWidth="1"/>
    <col min="2515" max="2515" width="3.140625" style="7" customWidth="1"/>
    <col min="2516" max="2516" width="9.7109375" style="7" customWidth="1"/>
    <col min="2517" max="2517" width="16.28515625" style="7" bestFit="1" customWidth="1"/>
    <col min="2518" max="2518" width="14.140625" style="7" customWidth="1"/>
    <col min="2519" max="2519" width="15.28515625" style="7" bestFit="1" customWidth="1"/>
    <col min="2520" max="2520" width="10.42578125" style="7" bestFit="1" customWidth="1"/>
    <col min="2521" max="2521" width="58" style="7" customWidth="1"/>
    <col min="2522" max="2763" width="8.7109375" style="7"/>
    <col min="2764" max="2764" width="4.42578125" style="7" customWidth="1"/>
    <col min="2765" max="2765" width="13.7109375" style="7" customWidth="1"/>
    <col min="2766" max="2766" width="42.5703125" style="7" customWidth="1"/>
    <col min="2767" max="2767" width="5.85546875" style="7" bestFit="1" customWidth="1"/>
    <col min="2768" max="2768" width="16" style="7" bestFit="1" customWidth="1"/>
    <col min="2769" max="2769" width="17.140625" style="7" bestFit="1" customWidth="1"/>
    <col min="2770" max="2770" width="2.7109375" style="7" customWidth="1"/>
    <col min="2771" max="2771" width="3.140625" style="7" customWidth="1"/>
    <col min="2772" max="2772" width="9.7109375" style="7" customWidth="1"/>
    <col min="2773" max="2773" width="16.28515625" style="7" bestFit="1" customWidth="1"/>
    <col min="2774" max="2774" width="14.140625" style="7" customWidth="1"/>
    <col min="2775" max="2775" width="15.28515625" style="7" bestFit="1" customWidth="1"/>
    <col min="2776" max="2776" width="10.42578125" style="7" bestFit="1" customWidth="1"/>
    <col min="2777" max="2777" width="58" style="7" customWidth="1"/>
    <col min="2778" max="3019" width="8.7109375" style="7"/>
    <col min="3020" max="3020" width="4.42578125" style="7" customWidth="1"/>
    <col min="3021" max="3021" width="13.7109375" style="7" customWidth="1"/>
    <col min="3022" max="3022" width="42.5703125" style="7" customWidth="1"/>
    <col min="3023" max="3023" width="5.85546875" style="7" bestFit="1" customWidth="1"/>
    <col min="3024" max="3024" width="16" style="7" bestFit="1" customWidth="1"/>
    <col min="3025" max="3025" width="17.140625" style="7" bestFit="1" customWidth="1"/>
    <col min="3026" max="3026" width="2.7109375" style="7" customWidth="1"/>
    <col min="3027" max="3027" width="3.140625" style="7" customWidth="1"/>
    <col min="3028" max="3028" width="9.7109375" style="7" customWidth="1"/>
    <col min="3029" max="3029" width="16.28515625" style="7" bestFit="1" customWidth="1"/>
    <col min="3030" max="3030" width="14.140625" style="7" customWidth="1"/>
    <col min="3031" max="3031" width="15.28515625" style="7" bestFit="1" customWidth="1"/>
    <col min="3032" max="3032" width="10.42578125" style="7" bestFit="1" customWidth="1"/>
    <col min="3033" max="3033" width="58" style="7" customWidth="1"/>
    <col min="3034" max="3275" width="8.7109375" style="7"/>
    <col min="3276" max="3276" width="4.42578125" style="7" customWidth="1"/>
    <col min="3277" max="3277" width="13.7109375" style="7" customWidth="1"/>
    <col min="3278" max="3278" width="42.5703125" style="7" customWidth="1"/>
    <col min="3279" max="3279" width="5.85546875" style="7" bestFit="1" customWidth="1"/>
    <col min="3280" max="3280" width="16" style="7" bestFit="1" customWidth="1"/>
    <col min="3281" max="3281" width="17.140625" style="7" bestFit="1" customWidth="1"/>
    <col min="3282" max="3282" width="2.7109375" style="7" customWidth="1"/>
    <col min="3283" max="3283" width="3.140625" style="7" customWidth="1"/>
    <col min="3284" max="3284" width="9.7109375" style="7" customWidth="1"/>
    <col min="3285" max="3285" width="16.28515625" style="7" bestFit="1" customWidth="1"/>
    <col min="3286" max="3286" width="14.140625" style="7" customWidth="1"/>
    <col min="3287" max="3287" width="15.28515625" style="7" bestFit="1" customWidth="1"/>
    <col min="3288" max="3288" width="10.42578125" style="7" bestFit="1" customWidth="1"/>
    <col min="3289" max="3289" width="58" style="7" customWidth="1"/>
    <col min="3290" max="3531" width="8.7109375" style="7"/>
    <col min="3532" max="3532" width="4.42578125" style="7" customWidth="1"/>
    <col min="3533" max="3533" width="13.7109375" style="7" customWidth="1"/>
    <col min="3534" max="3534" width="42.5703125" style="7" customWidth="1"/>
    <col min="3535" max="3535" width="5.85546875" style="7" bestFit="1" customWidth="1"/>
    <col min="3536" max="3536" width="16" style="7" bestFit="1" customWidth="1"/>
    <col min="3537" max="3537" width="17.140625" style="7" bestFit="1" customWidth="1"/>
    <col min="3538" max="3538" width="2.7109375" style="7" customWidth="1"/>
    <col min="3539" max="3539" width="3.140625" style="7" customWidth="1"/>
    <col min="3540" max="3540" width="9.7109375" style="7" customWidth="1"/>
    <col min="3541" max="3541" width="16.28515625" style="7" bestFit="1" customWidth="1"/>
    <col min="3542" max="3542" width="14.140625" style="7" customWidth="1"/>
    <col min="3543" max="3543" width="15.28515625" style="7" bestFit="1" customWidth="1"/>
    <col min="3544" max="3544" width="10.42578125" style="7" bestFit="1" customWidth="1"/>
    <col min="3545" max="3545" width="58" style="7" customWidth="1"/>
    <col min="3546" max="3787" width="8.7109375" style="7"/>
    <col min="3788" max="3788" width="4.42578125" style="7" customWidth="1"/>
    <col min="3789" max="3789" width="13.7109375" style="7" customWidth="1"/>
    <col min="3790" max="3790" width="42.5703125" style="7" customWidth="1"/>
    <col min="3791" max="3791" width="5.85546875" style="7" bestFit="1" customWidth="1"/>
    <col min="3792" max="3792" width="16" style="7" bestFit="1" customWidth="1"/>
    <col min="3793" max="3793" width="17.140625" style="7" bestFit="1" customWidth="1"/>
    <col min="3794" max="3794" width="2.7109375" style="7" customWidth="1"/>
    <col min="3795" max="3795" width="3.140625" style="7" customWidth="1"/>
    <col min="3796" max="3796" width="9.7109375" style="7" customWidth="1"/>
    <col min="3797" max="3797" width="16.28515625" style="7" bestFit="1" customWidth="1"/>
    <col min="3798" max="3798" width="14.140625" style="7" customWidth="1"/>
    <col min="3799" max="3799" width="15.28515625" style="7" bestFit="1" customWidth="1"/>
    <col min="3800" max="3800" width="10.42578125" style="7" bestFit="1" customWidth="1"/>
    <col min="3801" max="3801" width="58" style="7" customWidth="1"/>
    <col min="3802" max="4043" width="8.7109375" style="7"/>
    <col min="4044" max="4044" width="4.42578125" style="7" customWidth="1"/>
    <col min="4045" max="4045" width="13.7109375" style="7" customWidth="1"/>
    <col min="4046" max="4046" width="42.5703125" style="7" customWidth="1"/>
    <col min="4047" max="4047" width="5.85546875" style="7" bestFit="1" customWidth="1"/>
    <col min="4048" max="4048" width="16" style="7" bestFit="1" customWidth="1"/>
    <col min="4049" max="4049" width="17.140625" style="7" bestFit="1" customWidth="1"/>
    <col min="4050" max="4050" width="2.7109375" style="7" customWidth="1"/>
    <col min="4051" max="4051" width="3.140625" style="7" customWidth="1"/>
    <col min="4052" max="4052" width="9.7109375" style="7" customWidth="1"/>
    <col min="4053" max="4053" width="16.28515625" style="7" bestFit="1" customWidth="1"/>
    <col min="4054" max="4054" width="14.140625" style="7" customWidth="1"/>
    <col min="4055" max="4055" width="15.28515625" style="7" bestFit="1" customWidth="1"/>
    <col min="4056" max="4056" width="10.42578125" style="7" bestFit="1" customWidth="1"/>
    <col min="4057" max="4057" width="58" style="7" customWidth="1"/>
    <col min="4058" max="4299" width="8.7109375" style="7"/>
    <col min="4300" max="4300" width="4.42578125" style="7" customWidth="1"/>
    <col min="4301" max="4301" width="13.7109375" style="7" customWidth="1"/>
    <col min="4302" max="4302" width="42.5703125" style="7" customWidth="1"/>
    <col min="4303" max="4303" width="5.85546875" style="7" bestFit="1" customWidth="1"/>
    <col min="4304" max="4304" width="16" style="7" bestFit="1" customWidth="1"/>
    <col min="4305" max="4305" width="17.140625" style="7" bestFit="1" customWidth="1"/>
    <col min="4306" max="4306" width="2.7109375" style="7" customWidth="1"/>
    <col min="4307" max="4307" width="3.140625" style="7" customWidth="1"/>
    <col min="4308" max="4308" width="9.7109375" style="7" customWidth="1"/>
    <col min="4309" max="4309" width="16.28515625" style="7" bestFit="1" customWidth="1"/>
    <col min="4310" max="4310" width="14.140625" style="7" customWidth="1"/>
    <col min="4311" max="4311" width="15.28515625" style="7" bestFit="1" customWidth="1"/>
    <col min="4312" max="4312" width="10.42578125" style="7" bestFit="1" customWidth="1"/>
    <col min="4313" max="4313" width="58" style="7" customWidth="1"/>
    <col min="4314" max="4555" width="8.7109375" style="7"/>
    <col min="4556" max="4556" width="4.42578125" style="7" customWidth="1"/>
    <col min="4557" max="4557" width="13.7109375" style="7" customWidth="1"/>
    <col min="4558" max="4558" width="42.5703125" style="7" customWidth="1"/>
    <col min="4559" max="4559" width="5.85546875" style="7" bestFit="1" customWidth="1"/>
    <col min="4560" max="4560" width="16" style="7" bestFit="1" customWidth="1"/>
    <col min="4561" max="4561" width="17.140625" style="7" bestFit="1" customWidth="1"/>
    <col min="4562" max="4562" width="2.7109375" style="7" customWidth="1"/>
    <col min="4563" max="4563" width="3.140625" style="7" customWidth="1"/>
    <col min="4564" max="4564" width="9.7109375" style="7" customWidth="1"/>
    <col min="4565" max="4565" width="16.28515625" style="7" bestFit="1" customWidth="1"/>
    <col min="4566" max="4566" width="14.140625" style="7" customWidth="1"/>
    <col min="4567" max="4567" width="15.28515625" style="7" bestFit="1" customWidth="1"/>
    <col min="4568" max="4568" width="10.42578125" style="7" bestFit="1" customWidth="1"/>
    <col min="4569" max="4569" width="58" style="7" customWidth="1"/>
    <col min="4570" max="4811" width="8.7109375" style="7"/>
    <col min="4812" max="4812" width="4.42578125" style="7" customWidth="1"/>
    <col min="4813" max="4813" width="13.7109375" style="7" customWidth="1"/>
    <col min="4814" max="4814" width="42.5703125" style="7" customWidth="1"/>
    <col min="4815" max="4815" width="5.85546875" style="7" bestFit="1" customWidth="1"/>
    <col min="4816" max="4816" width="16" style="7" bestFit="1" customWidth="1"/>
    <col min="4817" max="4817" width="17.140625" style="7" bestFit="1" customWidth="1"/>
    <col min="4818" max="4818" width="2.7109375" style="7" customWidth="1"/>
    <col min="4819" max="4819" width="3.140625" style="7" customWidth="1"/>
    <col min="4820" max="4820" width="9.7109375" style="7" customWidth="1"/>
    <col min="4821" max="4821" width="16.28515625" style="7" bestFit="1" customWidth="1"/>
    <col min="4822" max="4822" width="14.140625" style="7" customWidth="1"/>
    <col min="4823" max="4823" width="15.28515625" style="7" bestFit="1" customWidth="1"/>
    <col min="4824" max="4824" width="10.42578125" style="7" bestFit="1" customWidth="1"/>
    <col min="4825" max="4825" width="58" style="7" customWidth="1"/>
    <col min="4826" max="5067" width="8.7109375" style="7"/>
    <col min="5068" max="5068" width="4.42578125" style="7" customWidth="1"/>
    <col min="5069" max="5069" width="13.7109375" style="7" customWidth="1"/>
    <col min="5070" max="5070" width="42.5703125" style="7" customWidth="1"/>
    <col min="5071" max="5071" width="5.85546875" style="7" bestFit="1" customWidth="1"/>
    <col min="5072" max="5072" width="16" style="7" bestFit="1" customWidth="1"/>
    <col min="5073" max="5073" width="17.140625" style="7" bestFit="1" customWidth="1"/>
    <col min="5074" max="5074" width="2.7109375" style="7" customWidth="1"/>
    <col min="5075" max="5075" width="3.140625" style="7" customWidth="1"/>
    <col min="5076" max="5076" width="9.7109375" style="7" customWidth="1"/>
    <col min="5077" max="5077" width="16.28515625" style="7" bestFit="1" customWidth="1"/>
    <col min="5078" max="5078" width="14.140625" style="7" customWidth="1"/>
    <col min="5079" max="5079" width="15.28515625" style="7" bestFit="1" customWidth="1"/>
    <col min="5080" max="5080" width="10.42578125" style="7" bestFit="1" customWidth="1"/>
    <col min="5081" max="5081" width="58" style="7" customWidth="1"/>
    <col min="5082" max="5323" width="8.7109375" style="7"/>
    <col min="5324" max="5324" width="4.42578125" style="7" customWidth="1"/>
    <col min="5325" max="5325" width="13.7109375" style="7" customWidth="1"/>
    <col min="5326" max="5326" width="42.5703125" style="7" customWidth="1"/>
    <col min="5327" max="5327" width="5.85546875" style="7" bestFit="1" customWidth="1"/>
    <col min="5328" max="5328" width="16" style="7" bestFit="1" customWidth="1"/>
    <col min="5329" max="5329" width="17.140625" style="7" bestFit="1" customWidth="1"/>
    <col min="5330" max="5330" width="2.7109375" style="7" customWidth="1"/>
    <col min="5331" max="5331" width="3.140625" style="7" customWidth="1"/>
    <col min="5332" max="5332" width="9.7109375" style="7" customWidth="1"/>
    <col min="5333" max="5333" width="16.28515625" style="7" bestFit="1" customWidth="1"/>
    <col min="5334" max="5334" width="14.140625" style="7" customWidth="1"/>
    <col min="5335" max="5335" width="15.28515625" style="7" bestFit="1" customWidth="1"/>
    <col min="5336" max="5336" width="10.42578125" style="7" bestFit="1" customWidth="1"/>
    <col min="5337" max="5337" width="58" style="7" customWidth="1"/>
    <col min="5338" max="5579" width="8.7109375" style="7"/>
    <col min="5580" max="5580" width="4.42578125" style="7" customWidth="1"/>
    <col min="5581" max="5581" width="13.7109375" style="7" customWidth="1"/>
    <col min="5582" max="5582" width="42.5703125" style="7" customWidth="1"/>
    <col min="5583" max="5583" width="5.85546875" style="7" bestFit="1" customWidth="1"/>
    <col min="5584" max="5584" width="16" style="7" bestFit="1" customWidth="1"/>
    <col min="5585" max="5585" width="17.140625" style="7" bestFit="1" customWidth="1"/>
    <col min="5586" max="5586" width="2.7109375" style="7" customWidth="1"/>
    <col min="5587" max="5587" width="3.140625" style="7" customWidth="1"/>
    <col min="5588" max="5588" width="9.7109375" style="7" customWidth="1"/>
    <col min="5589" max="5589" width="16.28515625" style="7" bestFit="1" customWidth="1"/>
    <col min="5590" max="5590" width="14.140625" style="7" customWidth="1"/>
    <col min="5591" max="5591" width="15.28515625" style="7" bestFit="1" customWidth="1"/>
    <col min="5592" max="5592" width="10.42578125" style="7" bestFit="1" customWidth="1"/>
    <col min="5593" max="5593" width="58" style="7" customWidth="1"/>
    <col min="5594" max="5835" width="8.7109375" style="7"/>
    <col min="5836" max="5836" width="4.42578125" style="7" customWidth="1"/>
    <col min="5837" max="5837" width="13.7109375" style="7" customWidth="1"/>
    <col min="5838" max="5838" width="42.5703125" style="7" customWidth="1"/>
    <col min="5839" max="5839" width="5.85546875" style="7" bestFit="1" customWidth="1"/>
    <col min="5840" max="5840" width="16" style="7" bestFit="1" customWidth="1"/>
    <col min="5841" max="5841" width="17.140625" style="7" bestFit="1" customWidth="1"/>
    <col min="5842" max="5842" width="2.7109375" style="7" customWidth="1"/>
    <col min="5843" max="5843" width="3.140625" style="7" customWidth="1"/>
    <col min="5844" max="5844" width="9.7109375" style="7" customWidth="1"/>
    <col min="5845" max="5845" width="16.28515625" style="7" bestFit="1" customWidth="1"/>
    <col min="5846" max="5846" width="14.140625" style="7" customWidth="1"/>
    <col min="5847" max="5847" width="15.28515625" style="7" bestFit="1" customWidth="1"/>
    <col min="5848" max="5848" width="10.42578125" style="7" bestFit="1" customWidth="1"/>
    <col min="5849" max="5849" width="58" style="7" customWidth="1"/>
    <col min="5850" max="6091" width="8.7109375" style="7"/>
    <col min="6092" max="6092" width="4.42578125" style="7" customWidth="1"/>
    <col min="6093" max="6093" width="13.7109375" style="7" customWidth="1"/>
    <col min="6094" max="6094" width="42.5703125" style="7" customWidth="1"/>
    <col min="6095" max="6095" width="5.85546875" style="7" bestFit="1" customWidth="1"/>
    <col min="6096" max="6096" width="16" style="7" bestFit="1" customWidth="1"/>
    <col min="6097" max="6097" width="17.140625" style="7" bestFit="1" customWidth="1"/>
    <col min="6098" max="6098" width="2.7109375" style="7" customWidth="1"/>
    <col min="6099" max="6099" width="3.140625" style="7" customWidth="1"/>
    <col min="6100" max="6100" width="9.7109375" style="7" customWidth="1"/>
    <col min="6101" max="6101" width="16.28515625" style="7" bestFit="1" customWidth="1"/>
    <col min="6102" max="6102" width="14.140625" style="7" customWidth="1"/>
    <col min="6103" max="6103" width="15.28515625" style="7" bestFit="1" customWidth="1"/>
    <col min="6104" max="6104" width="10.42578125" style="7" bestFit="1" customWidth="1"/>
    <col min="6105" max="6105" width="58" style="7" customWidth="1"/>
    <col min="6106" max="6347" width="8.7109375" style="7"/>
    <col min="6348" max="6348" width="4.42578125" style="7" customWidth="1"/>
    <col min="6349" max="6349" width="13.7109375" style="7" customWidth="1"/>
    <col min="6350" max="6350" width="42.5703125" style="7" customWidth="1"/>
    <col min="6351" max="6351" width="5.85546875" style="7" bestFit="1" customWidth="1"/>
    <col min="6352" max="6352" width="16" style="7" bestFit="1" customWidth="1"/>
    <col min="6353" max="6353" width="17.140625" style="7" bestFit="1" customWidth="1"/>
    <col min="6354" max="6354" width="2.7109375" style="7" customWidth="1"/>
    <col min="6355" max="6355" width="3.140625" style="7" customWidth="1"/>
    <col min="6356" max="6356" width="9.7109375" style="7" customWidth="1"/>
    <col min="6357" max="6357" width="16.28515625" style="7" bestFit="1" customWidth="1"/>
    <col min="6358" max="6358" width="14.140625" style="7" customWidth="1"/>
    <col min="6359" max="6359" width="15.28515625" style="7" bestFit="1" customWidth="1"/>
    <col min="6360" max="6360" width="10.42578125" style="7" bestFit="1" customWidth="1"/>
    <col min="6361" max="6361" width="58" style="7" customWidth="1"/>
    <col min="6362" max="6603" width="8.7109375" style="7"/>
    <col min="6604" max="6604" width="4.42578125" style="7" customWidth="1"/>
    <col min="6605" max="6605" width="13.7109375" style="7" customWidth="1"/>
    <col min="6606" max="6606" width="42.5703125" style="7" customWidth="1"/>
    <col min="6607" max="6607" width="5.85546875" style="7" bestFit="1" customWidth="1"/>
    <col min="6608" max="6608" width="16" style="7" bestFit="1" customWidth="1"/>
    <col min="6609" max="6609" width="17.140625" style="7" bestFit="1" customWidth="1"/>
    <col min="6610" max="6610" width="2.7109375" style="7" customWidth="1"/>
    <col min="6611" max="6611" width="3.140625" style="7" customWidth="1"/>
    <col min="6612" max="6612" width="9.7109375" style="7" customWidth="1"/>
    <col min="6613" max="6613" width="16.28515625" style="7" bestFit="1" customWidth="1"/>
    <col min="6614" max="6614" width="14.140625" style="7" customWidth="1"/>
    <col min="6615" max="6615" width="15.28515625" style="7" bestFit="1" customWidth="1"/>
    <col min="6616" max="6616" width="10.42578125" style="7" bestFit="1" customWidth="1"/>
    <col min="6617" max="6617" width="58" style="7" customWidth="1"/>
    <col min="6618" max="6859" width="8.7109375" style="7"/>
    <col min="6860" max="6860" width="4.42578125" style="7" customWidth="1"/>
    <col min="6861" max="6861" width="13.7109375" style="7" customWidth="1"/>
    <col min="6862" max="6862" width="42.5703125" style="7" customWidth="1"/>
    <col min="6863" max="6863" width="5.85546875" style="7" bestFit="1" customWidth="1"/>
    <col min="6864" max="6864" width="16" style="7" bestFit="1" customWidth="1"/>
    <col min="6865" max="6865" width="17.140625" style="7" bestFit="1" customWidth="1"/>
    <col min="6866" max="6866" width="2.7109375" style="7" customWidth="1"/>
    <col min="6867" max="6867" width="3.140625" style="7" customWidth="1"/>
    <col min="6868" max="6868" width="9.7109375" style="7" customWidth="1"/>
    <col min="6869" max="6869" width="16.28515625" style="7" bestFit="1" customWidth="1"/>
    <col min="6870" max="6870" width="14.140625" style="7" customWidth="1"/>
    <col min="6871" max="6871" width="15.28515625" style="7" bestFit="1" customWidth="1"/>
    <col min="6872" max="6872" width="10.42578125" style="7" bestFit="1" customWidth="1"/>
    <col min="6873" max="6873" width="58" style="7" customWidth="1"/>
    <col min="6874" max="7115" width="8.7109375" style="7"/>
    <col min="7116" max="7116" width="4.42578125" style="7" customWidth="1"/>
    <col min="7117" max="7117" width="13.7109375" style="7" customWidth="1"/>
    <col min="7118" max="7118" width="42.5703125" style="7" customWidth="1"/>
    <col min="7119" max="7119" width="5.85546875" style="7" bestFit="1" customWidth="1"/>
    <col min="7120" max="7120" width="16" style="7" bestFit="1" customWidth="1"/>
    <col min="7121" max="7121" width="17.140625" style="7" bestFit="1" customWidth="1"/>
    <col min="7122" max="7122" width="2.7109375" style="7" customWidth="1"/>
    <col min="7123" max="7123" width="3.140625" style="7" customWidth="1"/>
    <col min="7124" max="7124" width="9.7109375" style="7" customWidth="1"/>
    <col min="7125" max="7125" width="16.28515625" style="7" bestFit="1" customWidth="1"/>
    <col min="7126" max="7126" width="14.140625" style="7" customWidth="1"/>
    <col min="7127" max="7127" width="15.28515625" style="7" bestFit="1" customWidth="1"/>
    <col min="7128" max="7128" width="10.42578125" style="7" bestFit="1" customWidth="1"/>
    <col min="7129" max="7129" width="58" style="7" customWidth="1"/>
    <col min="7130" max="7371" width="8.7109375" style="7"/>
    <col min="7372" max="7372" width="4.42578125" style="7" customWidth="1"/>
    <col min="7373" max="7373" width="13.7109375" style="7" customWidth="1"/>
    <col min="7374" max="7374" width="42.5703125" style="7" customWidth="1"/>
    <col min="7375" max="7375" width="5.85546875" style="7" bestFit="1" customWidth="1"/>
    <col min="7376" max="7376" width="16" style="7" bestFit="1" customWidth="1"/>
    <col min="7377" max="7377" width="17.140625" style="7" bestFit="1" customWidth="1"/>
    <col min="7378" max="7378" width="2.7109375" style="7" customWidth="1"/>
    <col min="7379" max="7379" width="3.140625" style="7" customWidth="1"/>
    <col min="7380" max="7380" width="9.7109375" style="7" customWidth="1"/>
    <col min="7381" max="7381" width="16.28515625" style="7" bestFit="1" customWidth="1"/>
    <col min="7382" max="7382" width="14.140625" style="7" customWidth="1"/>
    <col min="7383" max="7383" width="15.28515625" style="7" bestFit="1" customWidth="1"/>
    <col min="7384" max="7384" width="10.42578125" style="7" bestFit="1" customWidth="1"/>
    <col min="7385" max="7385" width="58" style="7" customWidth="1"/>
    <col min="7386" max="7627" width="8.7109375" style="7"/>
    <col min="7628" max="7628" width="4.42578125" style="7" customWidth="1"/>
    <col min="7629" max="7629" width="13.7109375" style="7" customWidth="1"/>
    <col min="7630" max="7630" width="42.5703125" style="7" customWidth="1"/>
    <col min="7631" max="7631" width="5.85546875" style="7" bestFit="1" customWidth="1"/>
    <col min="7632" max="7632" width="16" style="7" bestFit="1" customWidth="1"/>
    <col min="7633" max="7633" width="17.140625" style="7" bestFit="1" customWidth="1"/>
    <col min="7634" max="7634" width="2.7109375" style="7" customWidth="1"/>
    <col min="7635" max="7635" width="3.140625" style="7" customWidth="1"/>
    <col min="7636" max="7636" width="9.7109375" style="7" customWidth="1"/>
    <col min="7637" max="7637" width="16.28515625" style="7" bestFit="1" customWidth="1"/>
    <col min="7638" max="7638" width="14.140625" style="7" customWidth="1"/>
    <col min="7639" max="7639" width="15.28515625" style="7" bestFit="1" customWidth="1"/>
    <col min="7640" max="7640" width="10.42578125" style="7" bestFit="1" customWidth="1"/>
    <col min="7641" max="7641" width="58" style="7" customWidth="1"/>
    <col min="7642" max="7883" width="8.7109375" style="7"/>
    <col min="7884" max="7884" width="4.42578125" style="7" customWidth="1"/>
    <col min="7885" max="7885" width="13.7109375" style="7" customWidth="1"/>
    <col min="7886" max="7886" width="42.5703125" style="7" customWidth="1"/>
    <col min="7887" max="7887" width="5.85546875" style="7" bestFit="1" customWidth="1"/>
    <col min="7888" max="7888" width="16" style="7" bestFit="1" customWidth="1"/>
    <col min="7889" max="7889" width="17.140625" style="7" bestFit="1" customWidth="1"/>
    <col min="7890" max="7890" width="2.7109375" style="7" customWidth="1"/>
    <col min="7891" max="7891" width="3.140625" style="7" customWidth="1"/>
    <col min="7892" max="7892" width="9.7109375" style="7" customWidth="1"/>
    <col min="7893" max="7893" width="16.28515625" style="7" bestFit="1" customWidth="1"/>
    <col min="7894" max="7894" width="14.140625" style="7" customWidth="1"/>
    <col min="7895" max="7895" width="15.28515625" style="7" bestFit="1" customWidth="1"/>
    <col min="7896" max="7896" width="10.42578125" style="7" bestFit="1" customWidth="1"/>
    <col min="7897" max="7897" width="58" style="7" customWidth="1"/>
    <col min="7898" max="8139" width="8.7109375" style="7"/>
    <col min="8140" max="8140" width="4.42578125" style="7" customWidth="1"/>
    <col min="8141" max="8141" width="13.7109375" style="7" customWidth="1"/>
    <col min="8142" max="8142" width="42.5703125" style="7" customWidth="1"/>
    <col min="8143" max="8143" width="5.85546875" style="7" bestFit="1" customWidth="1"/>
    <col min="8144" max="8144" width="16" style="7" bestFit="1" customWidth="1"/>
    <col min="8145" max="8145" width="17.140625" style="7" bestFit="1" customWidth="1"/>
    <col min="8146" max="8146" width="2.7109375" style="7" customWidth="1"/>
    <col min="8147" max="8147" width="3.140625" style="7" customWidth="1"/>
    <col min="8148" max="8148" width="9.7109375" style="7" customWidth="1"/>
    <col min="8149" max="8149" width="16.28515625" style="7" bestFit="1" customWidth="1"/>
    <col min="8150" max="8150" width="14.140625" style="7" customWidth="1"/>
    <col min="8151" max="8151" width="15.28515625" style="7" bestFit="1" customWidth="1"/>
    <col min="8152" max="8152" width="10.42578125" style="7" bestFit="1" customWidth="1"/>
    <col min="8153" max="8153" width="58" style="7" customWidth="1"/>
    <col min="8154" max="8395" width="8.7109375" style="7"/>
    <col min="8396" max="8396" width="4.42578125" style="7" customWidth="1"/>
    <col min="8397" max="8397" width="13.7109375" style="7" customWidth="1"/>
    <col min="8398" max="8398" width="42.5703125" style="7" customWidth="1"/>
    <col min="8399" max="8399" width="5.85546875" style="7" bestFit="1" customWidth="1"/>
    <col min="8400" max="8400" width="16" style="7" bestFit="1" customWidth="1"/>
    <col min="8401" max="8401" width="17.140625" style="7" bestFit="1" customWidth="1"/>
    <col min="8402" max="8402" width="2.7109375" style="7" customWidth="1"/>
    <col min="8403" max="8403" width="3.140625" style="7" customWidth="1"/>
    <col min="8404" max="8404" width="9.7109375" style="7" customWidth="1"/>
    <col min="8405" max="8405" width="16.28515625" style="7" bestFit="1" customWidth="1"/>
    <col min="8406" max="8406" width="14.140625" style="7" customWidth="1"/>
    <col min="8407" max="8407" width="15.28515625" style="7" bestFit="1" customWidth="1"/>
    <col min="8408" max="8408" width="10.42578125" style="7" bestFit="1" customWidth="1"/>
    <col min="8409" max="8409" width="58" style="7" customWidth="1"/>
    <col min="8410" max="8651" width="8.7109375" style="7"/>
    <col min="8652" max="8652" width="4.42578125" style="7" customWidth="1"/>
    <col min="8653" max="8653" width="13.7109375" style="7" customWidth="1"/>
    <col min="8654" max="8654" width="42.5703125" style="7" customWidth="1"/>
    <col min="8655" max="8655" width="5.85546875" style="7" bestFit="1" customWidth="1"/>
    <col min="8656" max="8656" width="16" style="7" bestFit="1" customWidth="1"/>
    <col min="8657" max="8657" width="17.140625" style="7" bestFit="1" customWidth="1"/>
    <col min="8658" max="8658" width="2.7109375" style="7" customWidth="1"/>
    <col min="8659" max="8659" width="3.140625" style="7" customWidth="1"/>
    <col min="8660" max="8660" width="9.7109375" style="7" customWidth="1"/>
    <col min="8661" max="8661" width="16.28515625" style="7" bestFit="1" customWidth="1"/>
    <col min="8662" max="8662" width="14.140625" style="7" customWidth="1"/>
    <col min="8663" max="8663" width="15.28515625" style="7" bestFit="1" customWidth="1"/>
    <col min="8664" max="8664" width="10.42578125" style="7" bestFit="1" customWidth="1"/>
    <col min="8665" max="8665" width="58" style="7" customWidth="1"/>
    <col min="8666" max="8907" width="8.7109375" style="7"/>
    <col min="8908" max="8908" width="4.42578125" style="7" customWidth="1"/>
    <col min="8909" max="8909" width="13.7109375" style="7" customWidth="1"/>
    <col min="8910" max="8910" width="42.5703125" style="7" customWidth="1"/>
    <col min="8911" max="8911" width="5.85546875" style="7" bestFit="1" customWidth="1"/>
    <col min="8912" max="8912" width="16" style="7" bestFit="1" customWidth="1"/>
    <col min="8913" max="8913" width="17.140625" style="7" bestFit="1" customWidth="1"/>
    <col min="8914" max="8914" width="2.7109375" style="7" customWidth="1"/>
    <col min="8915" max="8915" width="3.140625" style="7" customWidth="1"/>
    <col min="8916" max="8916" width="9.7109375" style="7" customWidth="1"/>
    <col min="8917" max="8917" width="16.28515625" style="7" bestFit="1" customWidth="1"/>
    <col min="8918" max="8918" width="14.140625" style="7" customWidth="1"/>
    <col min="8919" max="8919" width="15.28515625" style="7" bestFit="1" customWidth="1"/>
    <col min="8920" max="8920" width="10.42578125" style="7" bestFit="1" customWidth="1"/>
    <col min="8921" max="8921" width="58" style="7" customWidth="1"/>
    <col min="8922" max="9163" width="8.7109375" style="7"/>
    <col min="9164" max="9164" width="4.42578125" style="7" customWidth="1"/>
    <col min="9165" max="9165" width="13.7109375" style="7" customWidth="1"/>
    <col min="9166" max="9166" width="42.5703125" style="7" customWidth="1"/>
    <col min="9167" max="9167" width="5.85546875" style="7" bestFit="1" customWidth="1"/>
    <col min="9168" max="9168" width="16" style="7" bestFit="1" customWidth="1"/>
    <col min="9169" max="9169" width="17.140625" style="7" bestFit="1" customWidth="1"/>
    <col min="9170" max="9170" width="2.7109375" style="7" customWidth="1"/>
    <col min="9171" max="9171" width="3.140625" style="7" customWidth="1"/>
    <col min="9172" max="9172" width="9.7109375" style="7" customWidth="1"/>
    <col min="9173" max="9173" width="16.28515625" style="7" bestFit="1" customWidth="1"/>
    <col min="9174" max="9174" width="14.140625" style="7" customWidth="1"/>
    <col min="9175" max="9175" width="15.28515625" style="7" bestFit="1" customWidth="1"/>
    <col min="9176" max="9176" width="10.42578125" style="7" bestFit="1" customWidth="1"/>
    <col min="9177" max="9177" width="58" style="7" customWidth="1"/>
    <col min="9178" max="9419" width="8.7109375" style="7"/>
    <col min="9420" max="9420" width="4.42578125" style="7" customWidth="1"/>
    <col min="9421" max="9421" width="13.7109375" style="7" customWidth="1"/>
    <col min="9422" max="9422" width="42.5703125" style="7" customWidth="1"/>
    <col min="9423" max="9423" width="5.85546875" style="7" bestFit="1" customWidth="1"/>
    <col min="9424" max="9424" width="16" style="7" bestFit="1" customWidth="1"/>
    <col min="9425" max="9425" width="17.140625" style="7" bestFit="1" customWidth="1"/>
    <col min="9426" max="9426" width="2.7109375" style="7" customWidth="1"/>
    <col min="9427" max="9427" width="3.140625" style="7" customWidth="1"/>
    <col min="9428" max="9428" width="9.7109375" style="7" customWidth="1"/>
    <col min="9429" max="9429" width="16.28515625" style="7" bestFit="1" customWidth="1"/>
    <col min="9430" max="9430" width="14.140625" style="7" customWidth="1"/>
    <col min="9431" max="9431" width="15.28515625" style="7" bestFit="1" customWidth="1"/>
    <col min="9432" max="9432" width="10.42578125" style="7" bestFit="1" customWidth="1"/>
    <col min="9433" max="9433" width="58" style="7" customWidth="1"/>
    <col min="9434" max="9675" width="8.7109375" style="7"/>
    <col min="9676" max="9676" width="4.42578125" style="7" customWidth="1"/>
    <col min="9677" max="9677" width="13.7109375" style="7" customWidth="1"/>
    <col min="9678" max="9678" width="42.5703125" style="7" customWidth="1"/>
    <col min="9679" max="9679" width="5.85546875" style="7" bestFit="1" customWidth="1"/>
    <col min="9680" max="9680" width="16" style="7" bestFit="1" customWidth="1"/>
    <col min="9681" max="9681" width="17.140625" style="7" bestFit="1" customWidth="1"/>
    <col min="9682" max="9682" width="2.7109375" style="7" customWidth="1"/>
    <col min="9683" max="9683" width="3.140625" style="7" customWidth="1"/>
    <col min="9684" max="9684" width="9.7109375" style="7" customWidth="1"/>
    <col min="9685" max="9685" width="16.28515625" style="7" bestFit="1" customWidth="1"/>
    <col min="9686" max="9686" width="14.140625" style="7" customWidth="1"/>
    <col min="9687" max="9687" width="15.28515625" style="7" bestFit="1" customWidth="1"/>
    <col min="9688" max="9688" width="10.42578125" style="7" bestFit="1" customWidth="1"/>
    <col min="9689" max="9689" width="58" style="7" customWidth="1"/>
    <col min="9690" max="9931" width="8.7109375" style="7"/>
    <col min="9932" max="9932" width="4.42578125" style="7" customWidth="1"/>
    <col min="9933" max="9933" width="13.7109375" style="7" customWidth="1"/>
    <col min="9934" max="9934" width="42.5703125" style="7" customWidth="1"/>
    <col min="9935" max="9935" width="5.85546875" style="7" bestFit="1" customWidth="1"/>
    <col min="9936" max="9936" width="16" style="7" bestFit="1" customWidth="1"/>
    <col min="9937" max="9937" width="17.140625" style="7" bestFit="1" customWidth="1"/>
    <col min="9938" max="9938" width="2.7109375" style="7" customWidth="1"/>
    <col min="9939" max="9939" width="3.140625" style="7" customWidth="1"/>
    <col min="9940" max="9940" width="9.7109375" style="7" customWidth="1"/>
    <col min="9941" max="9941" width="16.28515625" style="7" bestFit="1" customWidth="1"/>
    <col min="9942" max="9942" width="14.140625" style="7" customWidth="1"/>
    <col min="9943" max="9943" width="15.28515625" style="7" bestFit="1" customWidth="1"/>
    <col min="9944" max="9944" width="10.42578125" style="7" bestFit="1" customWidth="1"/>
    <col min="9945" max="9945" width="58" style="7" customWidth="1"/>
    <col min="9946" max="10187" width="8.7109375" style="7"/>
    <col min="10188" max="10188" width="4.42578125" style="7" customWidth="1"/>
    <col min="10189" max="10189" width="13.7109375" style="7" customWidth="1"/>
    <col min="10190" max="10190" width="42.5703125" style="7" customWidth="1"/>
    <col min="10191" max="10191" width="5.85546875" style="7" bestFit="1" customWidth="1"/>
    <col min="10192" max="10192" width="16" style="7" bestFit="1" customWidth="1"/>
    <col min="10193" max="10193" width="17.140625" style="7" bestFit="1" customWidth="1"/>
    <col min="10194" max="10194" width="2.7109375" style="7" customWidth="1"/>
    <col min="10195" max="10195" width="3.140625" style="7" customWidth="1"/>
    <col min="10196" max="10196" width="9.7109375" style="7" customWidth="1"/>
    <col min="10197" max="10197" width="16.28515625" style="7" bestFit="1" customWidth="1"/>
    <col min="10198" max="10198" width="14.140625" style="7" customWidth="1"/>
    <col min="10199" max="10199" width="15.28515625" style="7" bestFit="1" customWidth="1"/>
    <col min="10200" max="10200" width="10.42578125" style="7" bestFit="1" customWidth="1"/>
    <col min="10201" max="10201" width="58" style="7" customWidth="1"/>
    <col min="10202" max="10443" width="8.7109375" style="7"/>
    <col min="10444" max="10444" width="4.42578125" style="7" customWidth="1"/>
    <col min="10445" max="10445" width="13.7109375" style="7" customWidth="1"/>
    <col min="10446" max="10446" width="42.5703125" style="7" customWidth="1"/>
    <col min="10447" max="10447" width="5.85546875" style="7" bestFit="1" customWidth="1"/>
    <col min="10448" max="10448" width="16" style="7" bestFit="1" customWidth="1"/>
    <col min="10449" max="10449" width="17.140625" style="7" bestFit="1" customWidth="1"/>
    <col min="10450" max="10450" width="2.7109375" style="7" customWidth="1"/>
    <col min="10451" max="10451" width="3.140625" style="7" customWidth="1"/>
    <col min="10452" max="10452" width="9.7109375" style="7" customWidth="1"/>
    <col min="10453" max="10453" width="16.28515625" style="7" bestFit="1" customWidth="1"/>
    <col min="10454" max="10454" width="14.140625" style="7" customWidth="1"/>
    <col min="10455" max="10455" width="15.28515625" style="7" bestFit="1" customWidth="1"/>
    <col min="10456" max="10456" width="10.42578125" style="7" bestFit="1" customWidth="1"/>
    <col min="10457" max="10457" width="58" style="7" customWidth="1"/>
    <col min="10458" max="10699" width="8.7109375" style="7"/>
    <col min="10700" max="10700" width="4.42578125" style="7" customWidth="1"/>
    <col min="10701" max="10701" width="13.7109375" style="7" customWidth="1"/>
    <col min="10702" max="10702" width="42.5703125" style="7" customWidth="1"/>
    <col min="10703" max="10703" width="5.85546875" style="7" bestFit="1" customWidth="1"/>
    <col min="10704" max="10704" width="16" style="7" bestFit="1" customWidth="1"/>
    <col min="10705" max="10705" width="17.140625" style="7" bestFit="1" customWidth="1"/>
    <col min="10706" max="10706" width="2.7109375" style="7" customWidth="1"/>
    <col min="10707" max="10707" width="3.140625" style="7" customWidth="1"/>
    <col min="10708" max="10708" width="9.7109375" style="7" customWidth="1"/>
    <col min="10709" max="10709" width="16.28515625" style="7" bestFit="1" customWidth="1"/>
    <col min="10710" max="10710" width="14.140625" style="7" customWidth="1"/>
    <col min="10711" max="10711" width="15.28515625" style="7" bestFit="1" customWidth="1"/>
    <col min="10712" max="10712" width="10.42578125" style="7" bestFit="1" customWidth="1"/>
    <col min="10713" max="10713" width="58" style="7" customWidth="1"/>
    <col min="10714" max="10955" width="8.7109375" style="7"/>
    <col min="10956" max="10956" width="4.42578125" style="7" customWidth="1"/>
    <col min="10957" max="10957" width="13.7109375" style="7" customWidth="1"/>
    <col min="10958" max="10958" width="42.5703125" style="7" customWidth="1"/>
    <col min="10959" max="10959" width="5.85546875" style="7" bestFit="1" customWidth="1"/>
    <col min="10960" max="10960" width="16" style="7" bestFit="1" customWidth="1"/>
    <col min="10961" max="10961" width="17.140625" style="7" bestFit="1" customWidth="1"/>
    <col min="10962" max="10962" width="2.7109375" style="7" customWidth="1"/>
    <col min="10963" max="10963" width="3.140625" style="7" customWidth="1"/>
    <col min="10964" max="10964" width="9.7109375" style="7" customWidth="1"/>
    <col min="10965" max="10965" width="16.28515625" style="7" bestFit="1" customWidth="1"/>
    <col min="10966" max="10966" width="14.140625" style="7" customWidth="1"/>
    <col min="10967" max="10967" width="15.28515625" style="7" bestFit="1" customWidth="1"/>
    <col min="10968" max="10968" width="10.42578125" style="7" bestFit="1" customWidth="1"/>
    <col min="10969" max="10969" width="58" style="7" customWidth="1"/>
    <col min="10970" max="11211" width="8.7109375" style="7"/>
    <col min="11212" max="11212" width="4.42578125" style="7" customWidth="1"/>
    <col min="11213" max="11213" width="13.7109375" style="7" customWidth="1"/>
    <col min="11214" max="11214" width="42.5703125" style="7" customWidth="1"/>
    <col min="11215" max="11215" width="5.85546875" style="7" bestFit="1" customWidth="1"/>
    <col min="11216" max="11216" width="16" style="7" bestFit="1" customWidth="1"/>
    <col min="11217" max="11217" width="17.140625" style="7" bestFit="1" customWidth="1"/>
    <col min="11218" max="11218" width="2.7109375" style="7" customWidth="1"/>
    <col min="11219" max="11219" width="3.140625" style="7" customWidth="1"/>
    <col min="11220" max="11220" width="9.7109375" style="7" customWidth="1"/>
    <col min="11221" max="11221" width="16.28515625" style="7" bestFit="1" customWidth="1"/>
    <col min="11222" max="11222" width="14.140625" style="7" customWidth="1"/>
    <col min="11223" max="11223" width="15.28515625" style="7" bestFit="1" customWidth="1"/>
    <col min="11224" max="11224" width="10.42578125" style="7" bestFit="1" customWidth="1"/>
    <col min="11225" max="11225" width="58" style="7" customWidth="1"/>
    <col min="11226" max="11467" width="8.7109375" style="7"/>
    <col min="11468" max="11468" width="4.42578125" style="7" customWidth="1"/>
    <col min="11469" max="11469" width="13.7109375" style="7" customWidth="1"/>
    <col min="11470" max="11470" width="42.5703125" style="7" customWidth="1"/>
    <col min="11471" max="11471" width="5.85546875" style="7" bestFit="1" customWidth="1"/>
    <col min="11472" max="11472" width="16" style="7" bestFit="1" customWidth="1"/>
    <col min="11473" max="11473" width="17.140625" style="7" bestFit="1" customWidth="1"/>
    <col min="11474" max="11474" width="2.7109375" style="7" customWidth="1"/>
    <col min="11475" max="11475" width="3.140625" style="7" customWidth="1"/>
    <col min="11476" max="11476" width="9.7109375" style="7" customWidth="1"/>
    <col min="11477" max="11477" width="16.28515625" style="7" bestFit="1" customWidth="1"/>
    <col min="11478" max="11478" width="14.140625" style="7" customWidth="1"/>
    <col min="11479" max="11479" width="15.28515625" style="7" bestFit="1" customWidth="1"/>
    <col min="11480" max="11480" width="10.42578125" style="7" bestFit="1" customWidth="1"/>
    <col min="11481" max="11481" width="58" style="7" customWidth="1"/>
    <col min="11482" max="11723" width="8.7109375" style="7"/>
    <col min="11724" max="11724" width="4.42578125" style="7" customWidth="1"/>
    <col min="11725" max="11725" width="13.7109375" style="7" customWidth="1"/>
    <col min="11726" max="11726" width="42.5703125" style="7" customWidth="1"/>
    <col min="11727" max="11727" width="5.85546875" style="7" bestFit="1" customWidth="1"/>
    <col min="11728" max="11728" width="16" style="7" bestFit="1" customWidth="1"/>
    <col min="11729" max="11729" width="17.140625" style="7" bestFit="1" customWidth="1"/>
    <col min="11730" max="11730" width="2.7109375" style="7" customWidth="1"/>
    <col min="11731" max="11731" width="3.140625" style="7" customWidth="1"/>
    <col min="11732" max="11732" width="9.7109375" style="7" customWidth="1"/>
    <col min="11733" max="11733" width="16.28515625" style="7" bestFit="1" customWidth="1"/>
    <col min="11734" max="11734" width="14.140625" style="7" customWidth="1"/>
    <col min="11735" max="11735" width="15.28515625" style="7" bestFit="1" customWidth="1"/>
    <col min="11736" max="11736" width="10.42578125" style="7" bestFit="1" customWidth="1"/>
    <col min="11737" max="11737" width="58" style="7" customWidth="1"/>
    <col min="11738" max="11979" width="8.7109375" style="7"/>
    <col min="11980" max="11980" width="4.42578125" style="7" customWidth="1"/>
    <col min="11981" max="11981" width="13.7109375" style="7" customWidth="1"/>
    <col min="11982" max="11982" width="42.5703125" style="7" customWidth="1"/>
    <col min="11983" max="11983" width="5.85546875" style="7" bestFit="1" customWidth="1"/>
    <col min="11984" max="11984" width="16" style="7" bestFit="1" customWidth="1"/>
    <col min="11985" max="11985" width="17.140625" style="7" bestFit="1" customWidth="1"/>
    <col min="11986" max="11986" width="2.7109375" style="7" customWidth="1"/>
    <col min="11987" max="11987" width="3.140625" style="7" customWidth="1"/>
    <col min="11988" max="11988" width="9.7109375" style="7" customWidth="1"/>
    <col min="11989" max="11989" width="16.28515625" style="7" bestFit="1" customWidth="1"/>
    <col min="11990" max="11990" width="14.140625" style="7" customWidth="1"/>
    <col min="11991" max="11991" width="15.28515625" style="7" bestFit="1" customWidth="1"/>
    <col min="11992" max="11992" width="10.42578125" style="7" bestFit="1" customWidth="1"/>
    <col min="11993" max="11993" width="58" style="7" customWidth="1"/>
    <col min="11994" max="12235" width="8.7109375" style="7"/>
    <col min="12236" max="12236" width="4.42578125" style="7" customWidth="1"/>
    <col min="12237" max="12237" width="13.7109375" style="7" customWidth="1"/>
    <col min="12238" max="12238" width="42.5703125" style="7" customWidth="1"/>
    <col min="12239" max="12239" width="5.85546875" style="7" bestFit="1" customWidth="1"/>
    <col min="12240" max="12240" width="16" style="7" bestFit="1" customWidth="1"/>
    <col min="12241" max="12241" width="17.140625" style="7" bestFit="1" customWidth="1"/>
    <col min="12242" max="12242" width="2.7109375" style="7" customWidth="1"/>
    <col min="12243" max="12243" width="3.140625" style="7" customWidth="1"/>
    <col min="12244" max="12244" width="9.7109375" style="7" customWidth="1"/>
    <col min="12245" max="12245" width="16.28515625" style="7" bestFit="1" customWidth="1"/>
    <col min="12246" max="12246" width="14.140625" style="7" customWidth="1"/>
    <col min="12247" max="12247" width="15.28515625" style="7" bestFit="1" customWidth="1"/>
    <col min="12248" max="12248" width="10.42578125" style="7" bestFit="1" customWidth="1"/>
    <col min="12249" max="12249" width="58" style="7" customWidth="1"/>
    <col min="12250" max="12491" width="8.7109375" style="7"/>
    <col min="12492" max="12492" width="4.42578125" style="7" customWidth="1"/>
    <col min="12493" max="12493" width="13.7109375" style="7" customWidth="1"/>
    <col min="12494" max="12494" width="42.5703125" style="7" customWidth="1"/>
    <col min="12495" max="12495" width="5.85546875" style="7" bestFit="1" customWidth="1"/>
    <col min="12496" max="12496" width="16" style="7" bestFit="1" customWidth="1"/>
    <col min="12497" max="12497" width="17.140625" style="7" bestFit="1" customWidth="1"/>
    <col min="12498" max="12498" width="2.7109375" style="7" customWidth="1"/>
    <col min="12499" max="12499" width="3.140625" style="7" customWidth="1"/>
    <col min="12500" max="12500" width="9.7109375" style="7" customWidth="1"/>
    <col min="12501" max="12501" width="16.28515625" style="7" bestFit="1" customWidth="1"/>
    <col min="12502" max="12502" width="14.140625" style="7" customWidth="1"/>
    <col min="12503" max="12503" width="15.28515625" style="7" bestFit="1" customWidth="1"/>
    <col min="12504" max="12504" width="10.42578125" style="7" bestFit="1" customWidth="1"/>
    <col min="12505" max="12505" width="58" style="7" customWidth="1"/>
    <col min="12506" max="12747" width="8.7109375" style="7"/>
    <col min="12748" max="12748" width="4.42578125" style="7" customWidth="1"/>
    <col min="12749" max="12749" width="13.7109375" style="7" customWidth="1"/>
    <col min="12750" max="12750" width="42.5703125" style="7" customWidth="1"/>
    <col min="12751" max="12751" width="5.85546875" style="7" bestFit="1" customWidth="1"/>
    <col min="12752" max="12752" width="16" style="7" bestFit="1" customWidth="1"/>
    <col min="12753" max="12753" width="17.140625" style="7" bestFit="1" customWidth="1"/>
    <col min="12754" max="12754" width="2.7109375" style="7" customWidth="1"/>
    <col min="12755" max="12755" width="3.140625" style="7" customWidth="1"/>
    <col min="12756" max="12756" width="9.7109375" style="7" customWidth="1"/>
    <col min="12757" max="12757" width="16.28515625" style="7" bestFit="1" customWidth="1"/>
    <col min="12758" max="12758" width="14.140625" style="7" customWidth="1"/>
    <col min="12759" max="12759" width="15.28515625" style="7" bestFit="1" customWidth="1"/>
    <col min="12760" max="12760" width="10.42578125" style="7" bestFit="1" customWidth="1"/>
    <col min="12761" max="12761" width="58" style="7" customWidth="1"/>
    <col min="12762" max="13003" width="8.7109375" style="7"/>
    <col min="13004" max="13004" width="4.42578125" style="7" customWidth="1"/>
    <col min="13005" max="13005" width="13.7109375" style="7" customWidth="1"/>
    <col min="13006" max="13006" width="42.5703125" style="7" customWidth="1"/>
    <col min="13007" max="13007" width="5.85546875" style="7" bestFit="1" customWidth="1"/>
    <col min="13008" max="13008" width="16" style="7" bestFit="1" customWidth="1"/>
    <col min="13009" max="13009" width="17.140625" style="7" bestFit="1" customWidth="1"/>
    <col min="13010" max="13010" width="2.7109375" style="7" customWidth="1"/>
    <col min="13011" max="13011" width="3.140625" style="7" customWidth="1"/>
    <col min="13012" max="13012" width="9.7109375" style="7" customWidth="1"/>
    <col min="13013" max="13013" width="16.28515625" style="7" bestFit="1" customWidth="1"/>
    <col min="13014" max="13014" width="14.140625" style="7" customWidth="1"/>
    <col min="13015" max="13015" width="15.28515625" style="7" bestFit="1" customWidth="1"/>
    <col min="13016" max="13016" width="10.42578125" style="7" bestFit="1" customWidth="1"/>
    <col min="13017" max="13017" width="58" style="7" customWidth="1"/>
    <col min="13018" max="13259" width="8.7109375" style="7"/>
    <col min="13260" max="13260" width="4.42578125" style="7" customWidth="1"/>
    <col min="13261" max="13261" width="13.7109375" style="7" customWidth="1"/>
    <col min="13262" max="13262" width="42.5703125" style="7" customWidth="1"/>
    <col min="13263" max="13263" width="5.85546875" style="7" bestFit="1" customWidth="1"/>
    <col min="13264" max="13264" width="16" style="7" bestFit="1" customWidth="1"/>
    <col min="13265" max="13265" width="17.140625" style="7" bestFit="1" customWidth="1"/>
    <col min="13266" max="13266" width="2.7109375" style="7" customWidth="1"/>
    <col min="13267" max="13267" width="3.140625" style="7" customWidth="1"/>
    <col min="13268" max="13268" width="9.7109375" style="7" customWidth="1"/>
    <col min="13269" max="13269" width="16.28515625" style="7" bestFit="1" customWidth="1"/>
    <col min="13270" max="13270" width="14.140625" style="7" customWidth="1"/>
    <col min="13271" max="13271" width="15.28515625" style="7" bestFit="1" customWidth="1"/>
    <col min="13272" max="13272" width="10.42578125" style="7" bestFit="1" customWidth="1"/>
    <col min="13273" max="13273" width="58" style="7" customWidth="1"/>
    <col min="13274" max="13515" width="8.7109375" style="7"/>
    <col min="13516" max="13516" width="4.42578125" style="7" customWidth="1"/>
    <col min="13517" max="13517" width="13.7109375" style="7" customWidth="1"/>
    <col min="13518" max="13518" width="42.5703125" style="7" customWidth="1"/>
    <col min="13519" max="13519" width="5.85546875" style="7" bestFit="1" customWidth="1"/>
    <col min="13520" max="13520" width="16" style="7" bestFit="1" customWidth="1"/>
    <col min="13521" max="13521" width="17.140625" style="7" bestFit="1" customWidth="1"/>
    <col min="13522" max="13522" width="2.7109375" style="7" customWidth="1"/>
    <col min="13523" max="13523" width="3.140625" style="7" customWidth="1"/>
    <col min="13524" max="13524" width="9.7109375" style="7" customWidth="1"/>
    <col min="13525" max="13525" width="16.28515625" style="7" bestFit="1" customWidth="1"/>
    <col min="13526" max="13526" width="14.140625" style="7" customWidth="1"/>
    <col min="13527" max="13527" width="15.28515625" style="7" bestFit="1" customWidth="1"/>
    <col min="13528" max="13528" width="10.42578125" style="7" bestFit="1" customWidth="1"/>
    <col min="13529" max="13529" width="58" style="7" customWidth="1"/>
    <col min="13530" max="13771" width="8.7109375" style="7"/>
    <col min="13772" max="13772" width="4.42578125" style="7" customWidth="1"/>
    <col min="13773" max="13773" width="13.7109375" style="7" customWidth="1"/>
    <col min="13774" max="13774" width="42.5703125" style="7" customWidth="1"/>
    <col min="13775" max="13775" width="5.85546875" style="7" bestFit="1" customWidth="1"/>
    <col min="13776" max="13776" width="16" style="7" bestFit="1" customWidth="1"/>
    <col min="13777" max="13777" width="17.140625" style="7" bestFit="1" customWidth="1"/>
    <col min="13778" max="13778" width="2.7109375" style="7" customWidth="1"/>
    <col min="13779" max="13779" width="3.140625" style="7" customWidth="1"/>
    <col min="13780" max="13780" width="9.7109375" style="7" customWidth="1"/>
    <col min="13781" max="13781" width="16.28515625" style="7" bestFit="1" customWidth="1"/>
    <col min="13782" max="13782" width="14.140625" style="7" customWidth="1"/>
    <col min="13783" max="13783" width="15.28515625" style="7" bestFit="1" customWidth="1"/>
    <col min="13784" max="13784" width="10.42578125" style="7" bestFit="1" customWidth="1"/>
    <col min="13785" max="13785" width="58" style="7" customWidth="1"/>
    <col min="13786" max="14027" width="8.7109375" style="7"/>
    <col min="14028" max="14028" width="4.42578125" style="7" customWidth="1"/>
    <col min="14029" max="14029" width="13.7109375" style="7" customWidth="1"/>
    <col min="14030" max="14030" width="42.5703125" style="7" customWidth="1"/>
    <col min="14031" max="14031" width="5.85546875" style="7" bestFit="1" customWidth="1"/>
    <col min="14032" max="14032" width="16" style="7" bestFit="1" customWidth="1"/>
    <col min="14033" max="14033" width="17.140625" style="7" bestFit="1" customWidth="1"/>
    <col min="14034" max="14034" width="2.7109375" style="7" customWidth="1"/>
    <col min="14035" max="14035" width="3.140625" style="7" customWidth="1"/>
    <col min="14036" max="14036" width="9.7109375" style="7" customWidth="1"/>
    <col min="14037" max="14037" width="16.28515625" style="7" bestFit="1" customWidth="1"/>
    <col min="14038" max="14038" width="14.140625" style="7" customWidth="1"/>
    <col min="14039" max="14039" width="15.28515625" style="7" bestFit="1" customWidth="1"/>
    <col min="14040" max="14040" width="10.42578125" style="7" bestFit="1" customWidth="1"/>
    <col min="14041" max="14041" width="58" style="7" customWidth="1"/>
    <col min="14042" max="14283" width="8.7109375" style="7"/>
    <col min="14284" max="14284" width="4.42578125" style="7" customWidth="1"/>
    <col min="14285" max="14285" width="13.7109375" style="7" customWidth="1"/>
    <col min="14286" max="14286" width="42.5703125" style="7" customWidth="1"/>
    <col min="14287" max="14287" width="5.85546875" style="7" bestFit="1" customWidth="1"/>
    <col min="14288" max="14288" width="16" style="7" bestFit="1" customWidth="1"/>
    <col min="14289" max="14289" width="17.140625" style="7" bestFit="1" customWidth="1"/>
    <col min="14290" max="14290" width="2.7109375" style="7" customWidth="1"/>
    <col min="14291" max="14291" width="3.140625" style="7" customWidth="1"/>
    <col min="14292" max="14292" width="9.7109375" style="7" customWidth="1"/>
    <col min="14293" max="14293" width="16.28515625" style="7" bestFit="1" customWidth="1"/>
    <col min="14294" max="14294" width="14.140625" style="7" customWidth="1"/>
    <col min="14295" max="14295" width="15.28515625" style="7" bestFit="1" customWidth="1"/>
    <col min="14296" max="14296" width="10.42578125" style="7" bestFit="1" customWidth="1"/>
    <col min="14297" max="14297" width="58" style="7" customWidth="1"/>
    <col min="14298" max="14539" width="8.7109375" style="7"/>
    <col min="14540" max="14540" width="4.42578125" style="7" customWidth="1"/>
    <col min="14541" max="14541" width="13.7109375" style="7" customWidth="1"/>
    <col min="14542" max="14542" width="42.5703125" style="7" customWidth="1"/>
    <col min="14543" max="14543" width="5.85546875" style="7" bestFit="1" customWidth="1"/>
    <col min="14544" max="14544" width="16" style="7" bestFit="1" customWidth="1"/>
    <col min="14545" max="14545" width="17.140625" style="7" bestFit="1" customWidth="1"/>
    <col min="14546" max="14546" width="2.7109375" style="7" customWidth="1"/>
    <col min="14547" max="14547" width="3.140625" style="7" customWidth="1"/>
    <col min="14548" max="14548" width="9.7109375" style="7" customWidth="1"/>
    <col min="14549" max="14549" width="16.28515625" style="7" bestFit="1" customWidth="1"/>
    <col min="14550" max="14550" width="14.140625" style="7" customWidth="1"/>
    <col min="14551" max="14551" width="15.28515625" style="7" bestFit="1" customWidth="1"/>
    <col min="14552" max="14552" width="10.42578125" style="7" bestFit="1" customWidth="1"/>
    <col min="14553" max="14553" width="58" style="7" customWidth="1"/>
    <col min="14554" max="14795" width="8.7109375" style="7"/>
    <col min="14796" max="14796" width="4.42578125" style="7" customWidth="1"/>
    <col min="14797" max="14797" width="13.7109375" style="7" customWidth="1"/>
    <col min="14798" max="14798" width="42.5703125" style="7" customWidth="1"/>
    <col min="14799" max="14799" width="5.85546875" style="7" bestFit="1" customWidth="1"/>
    <col min="14800" max="14800" width="16" style="7" bestFit="1" customWidth="1"/>
    <col min="14801" max="14801" width="17.140625" style="7" bestFit="1" customWidth="1"/>
    <col min="14802" max="14802" width="2.7109375" style="7" customWidth="1"/>
    <col min="14803" max="14803" width="3.140625" style="7" customWidth="1"/>
    <col min="14804" max="14804" width="9.7109375" style="7" customWidth="1"/>
    <col min="14805" max="14805" width="16.28515625" style="7" bestFit="1" customWidth="1"/>
    <col min="14806" max="14806" width="14.140625" style="7" customWidth="1"/>
    <col min="14807" max="14807" width="15.28515625" style="7" bestFit="1" customWidth="1"/>
    <col min="14808" max="14808" width="10.42578125" style="7" bestFit="1" customWidth="1"/>
    <col min="14809" max="14809" width="58" style="7" customWidth="1"/>
    <col min="14810" max="15051" width="8.7109375" style="7"/>
    <col min="15052" max="15052" width="4.42578125" style="7" customWidth="1"/>
    <col min="15053" max="15053" width="13.7109375" style="7" customWidth="1"/>
    <col min="15054" max="15054" width="42.5703125" style="7" customWidth="1"/>
    <col min="15055" max="15055" width="5.85546875" style="7" bestFit="1" customWidth="1"/>
    <col min="15056" max="15056" width="16" style="7" bestFit="1" customWidth="1"/>
    <col min="15057" max="15057" width="17.140625" style="7" bestFit="1" customWidth="1"/>
    <col min="15058" max="15058" width="2.7109375" style="7" customWidth="1"/>
    <col min="15059" max="15059" width="3.140625" style="7" customWidth="1"/>
    <col min="15060" max="15060" width="9.7109375" style="7" customWidth="1"/>
    <col min="15061" max="15061" width="16.28515625" style="7" bestFit="1" customWidth="1"/>
    <col min="15062" max="15062" width="14.140625" style="7" customWidth="1"/>
    <col min="15063" max="15063" width="15.28515625" style="7" bestFit="1" customWidth="1"/>
    <col min="15064" max="15064" width="10.42578125" style="7" bestFit="1" customWidth="1"/>
    <col min="15065" max="15065" width="58" style="7" customWidth="1"/>
    <col min="15066" max="15307" width="8.7109375" style="7"/>
    <col min="15308" max="15308" width="4.42578125" style="7" customWidth="1"/>
    <col min="15309" max="15309" width="13.7109375" style="7" customWidth="1"/>
    <col min="15310" max="15310" width="42.5703125" style="7" customWidth="1"/>
    <col min="15311" max="15311" width="5.85546875" style="7" bestFit="1" customWidth="1"/>
    <col min="15312" max="15312" width="16" style="7" bestFit="1" customWidth="1"/>
    <col min="15313" max="15313" width="17.140625" style="7" bestFit="1" customWidth="1"/>
    <col min="15314" max="15314" width="2.7109375" style="7" customWidth="1"/>
    <col min="15315" max="15315" width="3.140625" style="7" customWidth="1"/>
    <col min="15316" max="15316" width="9.7109375" style="7" customWidth="1"/>
    <col min="15317" max="15317" width="16.28515625" style="7" bestFit="1" customWidth="1"/>
    <col min="15318" max="15318" width="14.140625" style="7" customWidth="1"/>
    <col min="15319" max="15319" width="15.28515625" style="7" bestFit="1" customWidth="1"/>
    <col min="15320" max="15320" width="10.42578125" style="7" bestFit="1" customWidth="1"/>
    <col min="15321" max="15321" width="58" style="7" customWidth="1"/>
    <col min="15322" max="15563" width="8.7109375" style="7"/>
    <col min="15564" max="15564" width="4.42578125" style="7" customWidth="1"/>
    <col min="15565" max="15565" width="13.7109375" style="7" customWidth="1"/>
    <col min="15566" max="15566" width="42.5703125" style="7" customWidth="1"/>
    <col min="15567" max="15567" width="5.85546875" style="7" bestFit="1" customWidth="1"/>
    <col min="15568" max="15568" width="16" style="7" bestFit="1" customWidth="1"/>
    <col min="15569" max="15569" width="17.140625" style="7" bestFit="1" customWidth="1"/>
    <col min="15570" max="15570" width="2.7109375" style="7" customWidth="1"/>
    <col min="15571" max="15571" width="3.140625" style="7" customWidth="1"/>
    <col min="15572" max="15572" width="9.7109375" style="7" customWidth="1"/>
    <col min="15573" max="15573" width="16.28515625" style="7" bestFit="1" customWidth="1"/>
    <col min="15574" max="15574" width="14.140625" style="7" customWidth="1"/>
    <col min="15575" max="15575" width="15.28515625" style="7" bestFit="1" customWidth="1"/>
    <col min="15576" max="15576" width="10.42578125" style="7" bestFit="1" customWidth="1"/>
    <col min="15577" max="15577" width="58" style="7" customWidth="1"/>
    <col min="15578" max="15819" width="8.7109375" style="7"/>
    <col min="15820" max="15820" width="4.42578125" style="7" customWidth="1"/>
    <col min="15821" max="15821" width="13.7109375" style="7" customWidth="1"/>
    <col min="15822" max="15822" width="42.5703125" style="7" customWidth="1"/>
    <col min="15823" max="15823" width="5.85546875" style="7" bestFit="1" customWidth="1"/>
    <col min="15824" max="15824" width="16" style="7" bestFit="1" customWidth="1"/>
    <col min="15825" max="15825" width="17.140625" style="7" bestFit="1" customWidth="1"/>
    <col min="15826" max="15826" width="2.7109375" style="7" customWidth="1"/>
    <col min="15827" max="15827" width="3.140625" style="7" customWidth="1"/>
    <col min="15828" max="15828" width="9.7109375" style="7" customWidth="1"/>
    <col min="15829" max="15829" width="16.28515625" style="7" bestFit="1" customWidth="1"/>
    <col min="15830" max="15830" width="14.140625" style="7" customWidth="1"/>
    <col min="15831" max="15831" width="15.28515625" style="7" bestFit="1" customWidth="1"/>
    <col min="15832" max="15832" width="10.42578125" style="7" bestFit="1" customWidth="1"/>
    <col min="15833" max="15833" width="58" style="7" customWidth="1"/>
    <col min="15834" max="16075" width="8.7109375" style="7"/>
    <col min="16076" max="16076" width="4.42578125" style="7" customWidth="1"/>
    <col min="16077" max="16077" width="13.7109375" style="7" customWidth="1"/>
    <col min="16078" max="16078" width="42.5703125" style="7" customWidth="1"/>
    <col min="16079" max="16079" width="5.85546875" style="7" bestFit="1" customWidth="1"/>
    <col min="16080" max="16080" width="16" style="7" bestFit="1" customWidth="1"/>
    <col min="16081" max="16081" width="17.140625" style="7" bestFit="1" customWidth="1"/>
    <col min="16082" max="16082" width="2.7109375" style="7" customWidth="1"/>
    <col min="16083" max="16083" width="3.140625" style="7" customWidth="1"/>
    <col min="16084" max="16084" width="9.7109375" style="7" customWidth="1"/>
    <col min="16085" max="16085" width="16.28515625" style="7" bestFit="1" customWidth="1"/>
    <col min="16086" max="16086" width="14.140625" style="7" customWidth="1"/>
    <col min="16087" max="16087" width="15.28515625" style="7" bestFit="1" customWidth="1"/>
    <col min="16088" max="16088" width="10.42578125" style="7" bestFit="1" customWidth="1"/>
    <col min="16089" max="16089" width="58" style="7" customWidth="1"/>
    <col min="16090" max="16384" width="8.7109375" style="7"/>
  </cols>
  <sheetData>
    <row r="1" spans="1:6" ht="23.25" hidden="1" customHeight="1" outlineLevel="1" thickBot="1" x14ac:dyDescent="0.3">
      <c r="B1" s="2" t="s">
        <v>0</v>
      </c>
      <c r="C1" s="64"/>
      <c r="D1" s="65"/>
      <c r="F1" s="4" t="s">
        <v>1</v>
      </c>
    </row>
    <row r="2" spans="1:6" ht="23.25" hidden="1" customHeight="1" outlineLevel="1" x14ac:dyDescent="0.25">
      <c r="B2" s="8" t="s">
        <v>3</v>
      </c>
      <c r="C2" s="66"/>
      <c r="D2" s="67"/>
      <c r="F2" s="9" t="s">
        <v>4</v>
      </c>
    </row>
    <row r="3" spans="1:6" ht="23.25" hidden="1" customHeight="1" outlineLevel="1" x14ac:dyDescent="0.25">
      <c r="B3" s="8" t="s">
        <v>6</v>
      </c>
      <c r="C3" s="68"/>
      <c r="D3" s="67"/>
      <c r="F3" s="9" t="s">
        <v>7</v>
      </c>
    </row>
    <row r="4" spans="1:6" ht="23.25" hidden="1" customHeight="1" outlineLevel="1" x14ac:dyDescent="0.25">
      <c r="B4" s="8" t="s">
        <v>9</v>
      </c>
      <c r="C4" s="68"/>
      <c r="D4" s="67"/>
      <c r="F4" s="9" t="s">
        <v>10</v>
      </c>
    </row>
    <row r="5" spans="1:6" ht="23.25" hidden="1" customHeight="1" outlineLevel="1" x14ac:dyDescent="0.25">
      <c r="B5" s="8" t="s">
        <v>12</v>
      </c>
      <c r="C5" s="68"/>
      <c r="D5" s="67"/>
      <c r="F5" s="9" t="s">
        <v>13</v>
      </c>
    </row>
    <row r="6" spans="1:6" ht="23.25" hidden="1" customHeight="1" outlineLevel="1" thickBot="1" x14ac:dyDescent="0.3">
      <c r="B6" s="12" t="s">
        <v>14</v>
      </c>
      <c r="C6" s="75"/>
      <c r="D6" s="76"/>
      <c r="F6" s="13" t="s">
        <v>15</v>
      </c>
    </row>
    <row r="7" spans="1:6" hidden="1" outlineLevel="1" x14ac:dyDescent="0.25">
      <c r="D7" s="27"/>
      <c r="E7" s="7"/>
      <c r="F7" s="7"/>
    </row>
    <row r="8" spans="1:6" ht="19.5" customHeight="1" collapsed="1" x14ac:dyDescent="0.25">
      <c r="D8" s="27"/>
      <c r="E8" s="7"/>
      <c r="F8" s="7"/>
    </row>
    <row r="9" spans="1:6" ht="19.5" customHeight="1" x14ac:dyDescent="0.25">
      <c r="D9" s="27"/>
      <c r="E9" s="7"/>
      <c r="F9" s="7"/>
    </row>
    <row r="10" spans="1:6" ht="15" x14ac:dyDescent="0.25">
      <c r="A10" s="29" t="s">
        <v>16</v>
      </c>
      <c r="B10" s="29" t="s">
        <v>17</v>
      </c>
      <c r="C10" s="29" t="s">
        <v>18</v>
      </c>
      <c r="D10" s="29" t="s">
        <v>19</v>
      </c>
      <c r="E10" s="29" t="s">
        <v>20</v>
      </c>
      <c r="F10" s="29" t="s">
        <v>21</v>
      </c>
    </row>
    <row r="11" spans="1:6" ht="15" x14ac:dyDescent="0.25">
      <c r="A11" s="29" t="s">
        <v>55</v>
      </c>
      <c r="B11" s="72" t="s">
        <v>53</v>
      </c>
      <c r="C11" s="73"/>
      <c r="D11" s="73"/>
      <c r="E11" s="73"/>
      <c r="F11" s="74"/>
    </row>
    <row r="12" spans="1:6" ht="140.25" hidden="1" x14ac:dyDescent="0.25">
      <c r="A12" s="29" t="s">
        <v>79</v>
      </c>
      <c r="B12" s="37" t="s">
        <v>76</v>
      </c>
      <c r="C12" s="42" t="s">
        <v>83</v>
      </c>
      <c r="D12" s="33">
        <v>0</v>
      </c>
      <c r="E12" s="31">
        <v>26829</v>
      </c>
      <c r="F12" s="26">
        <v>0</v>
      </c>
    </row>
    <row r="13" spans="1:6" ht="25.5" hidden="1" x14ac:dyDescent="0.25">
      <c r="A13" s="29" t="s">
        <v>79</v>
      </c>
      <c r="B13" s="37" t="s">
        <v>82</v>
      </c>
      <c r="C13" s="42" t="s">
        <v>89</v>
      </c>
      <c r="D13" s="33">
        <v>0</v>
      </c>
      <c r="E13" s="31">
        <v>5854</v>
      </c>
      <c r="F13" s="26">
        <v>0</v>
      </c>
    </row>
    <row r="14" spans="1:6" ht="153" x14ac:dyDescent="0.25">
      <c r="A14" s="29">
        <v>1</v>
      </c>
      <c r="B14" s="41" t="s">
        <v>80</v>
      </c>
      <c r="C14" s="42" t="s">
        <v>81</v>
      </c>
      <c r="D14" s="33">
        <v>1</v>
      </c>
      <c r="E14" s="31">
        <v>24390</v>
      </c>
      <c r="F14" s="26">
        <v>24390</v>
      </c>
    </row>
    <row r="15" spans="1:6" ht="89.25" x14ac:dyDescent="0.25">
      <c r="A15" s="29">
        <v>2</v>
      </c>
      <c r="B15" s="37" t="s">
        <v>77</v>
      </c>
      <c r="C15" s="42" t="s">
        <v>78</v>
      </c>
      <c r="D15" s="33">
        <v>1</v>
      </c>
      <c r="E15" s="31">
        <v>1831</v>
      </c>
      <c r="F15" s="26">
        <v>1831</v>
      </c>
    </row>
    <row r="16" spans="1:6" ht="13.5" customHeight="1" x14ac:dyDescent="0.25">
      <c r="A16" s="29" t="s">
        <v>56</v>
      </c>
      <c r="B16" s="38" t="s">
        <v>54</v>
      </c>
      <c r="C16" s="39"/>
      <c r="D16" s="39"/>
      <c r="E16" s="39"/>
      <c r="F16" s="40"/>
    </row>
    <row r="17" spans="1:6" ht="45" x14ac:dyDescent="0.25">
      <c r="A17" s="29">
        <v>1</v>
      </c>
      <c r="B17" s="32" t="s">
        <v>33</v>
      </c>
      <c r="C17" s="32" t="s">
        <v>34</v>
      </c>
      <c r="D17" s="33">
        <v>1</v>
      </c>
      <c r="E17" s="31">
        <v>12439</v>
      </c>
      <c r="F17" s="26">
        <v>12439</v>
      </c>
    </row>
    <row r="18" spans="1:6" ht="25.5" x14ac:dyDescent="0.25">
      <c r="A18" s="36">
        <v>2</v>
      </c>
      <c r="B18" s="35" t="s">
        <v>35</v>
      </c>
      <c r="C18" s="34" t="s">
        <v>36</v>
      </c>
      <c r="D18" s="33">
        <v>1</v>
      </c>
      <c r="E18" s="31">
        <v>727</v>
      </c>
      <c r="F18" s="26">
        <v>727</v>
      </c>
    </row>
    <row r="19" spans="1:6" ht="38.25" x14ac:dyDescent="0.25">
      <c r="A19" s="36">
        <v>3</v>
      </c>
      <c r="B19" s="35" t="s">
        <v>37</v>
      </c>
      <c r="C19" s="34" t="s">
        <v>38</v>
      </c>
      <c r="D19" s="33">
        <v>3</v>
      </c>
      <c r="E19" s="31">
        <v>1220</v>
      </c>
      <c r="F19" s="26">
        <v>3660</v>
      </c>
    </row>
    <row r="20" spans="1:6" ht="51" x14ac:dyDescent="0.25">
      <c r="A20" s="36">
        <v>4</v>
      </c>
      <c r="B20" s="35" t="s">
        <v>39</v>
      </c>
      <c r="C20" s="34" t="s">
        <v>40</v>
      </c>
      <c r="D20" s="33">
        <v>1</v>
      </c>
      <c r="E20" s="31">
        <v>901</v>
      </c>
      <c r="F20" s="26">
        <v>901</v>
      </c>
    </row>
    <row r="21" spans="1:6" ht="38.25" x14ac:dyDescent="0.25">
      <c r="A21" s="36">
        <v>5</v>
      </c>
      <c r="B21" s="35" t="s">
        <v>41</v>
      </c>
      <c r="C21" s="34" t="s">
        <v>42</v>
      </c>
      <c r="D21" s="33">
        <v>1</v>
      </c>
      <c r="E21" s="31">
        <v>701</v>
      </c>
      <c r="F21" s="26">
        <v>701</v>
      </c>
    </row>
    <row r="22" spans="1:6" ht="25.5" x14ac:dyDescent="0.25">
      <c r="A22" s="36">
        <v>6</v>
      </c>
      <c r="B22" s="35" t="s">
        <v>43</v>
      </c>
      <c r="C22" s="34" t="s">
        <v>44</v>
      </c>
      <c r="D22" s="33">
        <v>1</v>
      </c>
      <c r="E22" s="31">
        <v>3767</v>
      </c>
      <c r="F22" s="26">
        <v>3767</v>
      </c>
    </row>
    <row r="23" spans="1:6" ht="13.5" customHeight="1" x14ac:dyDescent="0.25">
      <c r="A23" s="29" t="s">
        <v>65</v>
      </c>
      <c r="B23" s="38" t="s">
        <v>57</v>
      </c>
      <c r="C23" s="39"/>
      <c r="D23" s="39"/>
      <c r="E23" s="39"/>
      <c r="F23" s="40"/>
    </row>
    <row r="24" spans="1:6" ht="38.25" x14ac:dyDescent="0.25">
      <c r="A24" s="29">
        <v>1</v>
      </c>
      <c r="B24" s="35" t="s">
        <v>47</v>
      </c>
      <c r="C24" s="34" t="s">
        <v>48</v>
      </c>
      <c r="D24" s="33">
        <v>1</v>
      </c>
      <c r="E24" s="31">
        <v>9541</v>
      </c>
      <c r="F24" s="26">
        <v>9541</v>
      </c>
    </row>
    <row r="25" spans="1:6" ht="25.5" x14ac:dyDescent="0.25">
      <c r="A25" s="36">
        <v>2</v>
      </c>
      <c r="B25" s="35" t="s">
        <v>35</v>
      </c>
      <c r="C25" s="34" t="s">
        <v>36</v>
      </c>
      <c r="D25" s="33">
        <v>1</v>
      </c>
      <c r="E25" s="31">
        <v>727</v>
      </c>
      <c r="F25" s="26">
        <v>727</v>
      </c>
    </row>
    <row r="26" spans="1:6" ht="38.25" x14ac:dyDescent="0.25">
      <c r="A26" s="36">
        <v>3</v>
      </c>
      <c r="B26" s="35" t="s">
        <v>37</v>
      </c>
      <c r="C26" s="34" t="s">
        <v>38</v>
      </c>
      <c r="D26" s="33">
        <v>3</v>
      </c>
      <c r="E26" s="31">
        <v>1220</v>
      </c>
      <c r="F26" s="26">
        <v>3660</v>
      </c>
    </row>
    <row r="27" spans="1:6" ht="51" x14ac:dyDescent="0.25">
      <c r="A27" s="36">
        <v>4</v>
      </c>
      <c r="B27" s="35" t="s">
        <v>39</v>
      </c>
      <c r="C27" s="34" t="s">
        <v>40</v>
      </c>
      <c r="D27" s="33">
        <v>1</v>
      </c>
      <c r="E27" s="31">
        <v>901</v>
      </c>
      <c r="F27" s="26">
        <v>901</v>
      </c>
    </row>
    <row r="28" spans="1:6" ht="38.25" x14ac:dyDescent="0.25">
      <c r="A28" s="36">
        <v>5</v>
      </c>
      <c r="B28" s="35" t="s">
        <v>41</v>
      </c>
      <c r="C28" s="34" t="s">
        <v>42</v>
      </c>
      <c r="D28" s="33">
        <v>1</v>
      </c>
      <c r="E28" s="31">
        <v>701</v>
      </c>
      <c r="F28" s="26">
        <v>701</v>
      </c>
    </row>
    <row r="29" spans="1:6" ht="25.5" x14ac:dyDescent="0.25">
      <c r="A29" s="36">
        <v>6</v>
      </c>
      <c r="B29" s="35" t="s">
        <v>43</v>
      </c>
      <c r="C29" s="34" t="s">
        <v>44</v>
      </c>
      <c r="D29" s="33">
        <v>1</v>
      </c>
      <c r="E29" s="31">
        <v>3767</v>
      </c>
      <c r="F29" s="26">
        <v>3767</v>
      </c>
    </row>
    <row r="30" spans="1:6" ht="13.5" customHeight="1" x14ac:dyDescent="0.25">
      <c r="A30" s="29" t="s">
        <v>66</v>
      </c>
      <c r="B30" s="38" t="s">
        <v>58</v>
      </c>
      <c r="C30" s="39"/>
      <c r="D30" s="39"/>
      <c r="E30" s="39"/>
      <c r="F30" s="40"/>
    </row>
    <row r="31" spans="1:6" ht="38.25" x14ac:dyDescent="0.25">
      <c r="A31" s="29">
        <v>1</v>
      </c>
      <c r="B31" s="35" t="s">
        <v>47</v>
      </c>
      <c r="C31" s="34" t="s">
        <v>48</v>
      </c>
      <c r="D31" s="33">
        <v>1</v>
      </c>
      <c r="E31" s="31">
        <v>9541</v>
      </c>
      <c r="F31" s="26">
        <v>9541</v>
      </c>
    </row>
    <row r="32" spans="1:6" ht="25.5" x14ac:dyDescent="0.25">
      <c r="A32" s="36">
        <v>2</v>
      </c>
      <c r="B32" s="35" t="s">
        <v>35</v>
      </c>
      <c r="C32" s="34" t="s">
        <v>36</v>
      </c>
      <c r="D32" s="33">
        <v>1</v>
      </c>
      <c r="E32" s="31">
        <v>727</v>
      </c>
      <c r="F32" s="26">
        <v>727</v>
      </c>
    </row>
    <row r="33" spans="1:6" ht="38.25" x14ac:dyDescent="0.25">
      <c r="A33" s="36">
        <v>3</v>
      </c>
      <c r="B33" s="35" t="s">
        <v>37</v>
      </c>
      <c r="C33" s="34" t="s">
        <v>38</v>
      </c>
      <c r="D33" s="33">
        <v>3</v>
      </c>
      <c r="E33" s="31">
        <v>1220</v>
      </c>
      <c r="F33" s="26">
        <v>3660</v>
      </c>
    </row>
    <row r="34" spans="1:6" ht="51" x14ac:dyDescent="0.25">
      <c r="A34" s="36">
        <v>4</v>
      </c>
      <c r="B34" s="35" t="s">
        <v>39</v>
      </c>
      <c r="C34" s="34" t="s">
        <v>40</v>
      </c>
      <c r="D34" s="33">
        <v>1</v>
      </c>
      <c r="E34" s="31">
        <v>901</v>
      </c>
      <c r="F34" s="26">
        <v>901</v>
      </c>
    </row>
    <row r="35" spans="1:6" ht="38.25" x14ac:dyDescent="0.25">
      <c r="A35" s="36">
        <v>5</v>
      </c>
      <c r="B35" s="35" t="s">
        <v>41</v>
      </c>
      <c r="C35" s="34" t="s">
        <v>42</v>
      </c>
      <c r="D35" s="33">
        <v>1</v>
      </c>
      <c r="E35" s="31">
        <v>701</v>
      </c>
      <c r="F35" s="26">
        <v>701</v>
      </c>
    </row>
    <row r="36" spans="1:6" ht="25.5" x14ac:dyDescent="0.25">
      <c r="A36" s="36">
        <v>6</v>
      </c>
      <c r="B36" s="35" t="s">
        <v>43</v>
      </c>
      <c r="C36" s="34" t="s">
        <v>44</v>
      </c>
      <c r="D36" s="33">
        <v>1</v>
      </c>
      <c r="E36" s="31">
        <v>3767</v>
      </c>
      <c r="F36" s="26">
        <v>3767</v>
      </c>
    </row>
    <row r="37" spans="1:6" ht="114.75" x14ac:dyDescent="0.25">
      <c r="A37" s="36">
        <v>7</v>
      </c>
      <c r="B37" s="35" t="s">
        <v>63</v>
      </c>
      <c r="C37" s="34" t="s">
        <v>64</v>
      </c>
      <c r="D37" s="33">
        <v>1</v>
      </c>
      <c r="E37" s="31">
        <v>6707</v>
      </c>
      <c r="F37" s="26">
        <v>6707</v>
      </c>
    </row>
    <row r="38" spans="1:6" ht="89.25" x14ac:dyDescent="0.25">
      <c r="A38" s="36">
        <v>8</v>
      </c>
      <c r="B38" s="37" t="s">
        <v>77</v>
      </c>
      <c r="C38" s="34" t="s">
        <v>78</v>
      </c>
      <c r="D38" s="33">
        <v>1</v>
      </c>
      <c r="E38" s="31">
        <v>1831</v>
      </c>
      <c r="F38" s="26">
        <v>1831</v>
      </c>
    </row>
    <row r="39" spans="1:6" ht="13.5" customHeight="1" x14ac:dyDescent="0.25">
      <c r="A39" s="29" t="s">
        <v>67</v>
      </c>
      <c r="B39" s="38" t="s">
        <v>59</v>
      </c>
      <c r="C39" s="39"/>
      <c r="D39" s="39"/>
      <c r="E39" s="39"/>
      <c r="F39" s="40"/>
    </row>
    <row r="40" spans="1:6" ht="45" x14ac:dyDescent="0.25">
      <c r="A40" s="29">
        <v>1</v>
      </c>
      <c r="B40" s="32" t="s">
        <v>33</v>
      </c>
      <c r="C40" s="32" t="s">
        <v>34</v>
      </c>
      <c r="D40" s="33">
        <v>1</v>
      </c>
      <c r="E40" s="31">
        <v>12439</v>
      </c>
      <c r="F40" s="26">
        <v>12439</v>
      </c>
    </row>
    <row r="41" spans="1:6" ht="25.5" x14ac:dyDescent="0.25">
      <c r="A41" s="36">
        <v>2</v>
      </c>
      <c r="B41" s="35" t="s">
        <v>35</v>
      </c>
      <c r="C41" s="34" t="s">
        <v>36</v>
      </c>
      <c r="D41" s="33">
        <v>1</v>
      </c>
      <c r="E41" s="31">
        <v>727</v>
      </c>
      <c r="F41" s="26">
        <v>727</v>
      </c>
    </row>
    <row r="42" spans="1:6" ht="38.25" x14ac:dyDescent="0.25">
      <c r="A42" s="29">
        <v>3</v>
      </c>
      <c r="B42" s="35" t="s">
        <v>37</v>
      </c>
      <c r="C42" s="34" t="s">
        <v>38</v>
      </c>
      <c r="D42" s="33">
        <v>3</v>
      </c>
      <c r="E42" s="31">
        <v>1220</v>
      </c>
      <c r="F42" s="26">
        <v>3660</v>
      </c>
    </row>
    <row r="43" spans="1:6" ht="51" x14ac:dyDescent="0.25">
      <c r="A43" s="36">
        <v>4</v>
      </c>
      <c r="B43" s="35" t="s">
        <v>39</v>
      </c>
      <c r="C43" s="34" t="s">
        <v>40</v>
      </c>
      <c r="D43" s="33">
        <v>1</v>
      </c>
      <c r="E43" s="31">
        <v>901</v>
      </c>
      <c r="F43" s="26">
        <v>901</v>
      </c>
    </row>
    <row r="44" spans="1:6" ht="38.25" x14ac:dyDescent="0.25">
      <c r="A44" s="29">
        <v>5</v>
      </c>
      <c r="B44" s="35" t="s">
        <v>41</v>
      </c>
      <c r="C44" s="34" t="s">
        <v>42</v>
      </c>
      <c r="D44" s="33">
        <v>1</v>
      </c>
      <c r="E44" s="31">
        <v>701</v>
      </c>
      <c r="F44" s="26">
        <v>701</v>
      </c>
    </row>
    <row r="45" spans="1:6" ht="25.5" x14ac:dyDescent="0.25">
      <c r="A45" s="36">
        <v>6</v>
      </c>
      <c r="B45" s="35" t="s">
        <v>43</v>
      </c>
      <c r="C45" s="34" t="s">
        <v>44</v>
      </c>
      <c r="D45" s="33">
        <v>1</v>
      </c>
      <c r="E45" s="31">
        <v>3767</v>
      </c>
      <c r="F45" s="26">
        <v>3767</v>
      </c>
    </row>
    <row r="46" spans="1:6" ht="25.5" x14ac:dyDescent="0.25">
      <c r="A46" s="29">
        <v>7</v>
      </c>
      <c r="B46" s="35" t="s">
        <v>45</v>
      </c>
      <c r="C46" s="34" t="s">
        <v>46</v>
      </c>
      <c r="D46" s="33">
        <v>1</v>
      </c>
      <c r="E46" s="31">
        <v>7618</v>
      </c>
      <c r="F46" s="26">
        <v>7618</v>
      </c>
    </row>
    <row r="47" spans="1:6" ht="13.5" customHeight="1" x14ac:dyDescent="0.25">
      <c r="A47" s="29" t="s">
        <v>68</v>
      </c>
      <c r="B47" s="38" t="s">
        <v>60</v>
      </c>
      <c r="C47" s="39"/>
      <c r="D47" s="39"/>
      <c r="E47" s="39"/>
      <c r="F47" s="40"/>
    </row>
    <row r="48" spans="1:6" ht="45" x14ac:dyDescent="0.25">
      <c r="A48" s="29">
        <v>1</v>
      </c>
      <c r="B48" s="32" t="s">
        <v>33</v>
      </c>
      <c r="C48" s="32" t="s">
        <v>34</v>
      </c>
      <c r="D48" s="33">
        <v>1</v>
      </c>
      <c r="E48" s="31">
        <v>12439</v>
      </c>
      <c r="F48" s="26">
        <v>12439</v>
      </c>
    </row>
    <row r="49" spans="1:6" ht="25.5" x14ac:dyDescent="0.25">
      <c r="A49" s="36">
        <v>2</v>
      </c>
      <c r="B49" s="35" t="s">
        <v>35</v>
      </c>
      <c r="C49" s="34" t="s">
        <v>36</v>
      </c>
      <c r="D49" s="33">
        <v>1</v>
      </c>
      <c r="E49" s="31">
        <v>727</v>
      </c>
      <c r="F49" s="26">
        <v>727</v>
      </c>
    </row>
    <row r="50" spans="1:6" ht="38.25" x14ac:dyDescent="0.25">
      <c r="A50" s="36">
        <v>3</v>
      </c>
      <c r="B50" s="35" t="s">
        <v>37</v>
      </c>
      <c r="C50" s="34" t="s">
        <v>38</v>
      </c>
      <c r="D50" s="33">
        <v>1</v>
      </c>
      <c r="E50" s="31">
        <v>1220</v>
      </c>
      <c r="F50" s="26">
        <v>1220</v>
      </c>
    </row>
    <row r="51" spans="1:6" ht="38.25" x14ac:dyDescent="0.25">
      <c r="A51" s="29">
        <v>4</v>
      </c>
      <c r="B51" s="35" t="s">
        <v>41</v>
      </c>
      <c r="C51" s="34" t="s">
        <v>42</v>
      </c>
      <c r="D51" s="33">
        <v>1</v>
      </c>
      <c r="E51" s="31">
        <v>701</v>
      </c>
      <c r="F51" s="26">
        <v>701</v>
      </c>
    </row>
    <row r="52" spans="1:6" ht="25.5" x14ac:dyDescent="0.25">
      <c r="A52" s="36">
        <v>5</v>
      </c>
      <c r="B52" s="35" t="s">
        <v>43</v>
      </c>
      <c r="C52" s="34" t="s">
        <v>44</v>
      </c>
      <c r="D52" s="33">
        <v>1</v>
      </c>
      <c r="E52" s="31">
        <v>3767</v>
      </c>
      <c r="F52" s="26">
        <v>3767</v>
      </c>
    </row>
    <row r="53" spans="1:6" ht="13.5" customHeight="1" x14ac:dyDescent="0.25">
      <c r="A53" s="29" t="s">
        <v>70</v>
      </c>
      <c r="B53" s="38" t="s">
        <v>61</v>
      </c>
      <c r="C53" s="39"/>
      <c r="D53" s="39"/>
      <c r="E53" s="39"/>
      <c r="F53" s="40"/>
    </row>
    <row r="54" spans="1:6" ht="38.25" x14ac:dyDescent="0.25">
      <c r="A54" s="29">
        <v>1</v>
      </c>
      <c r="B54" s="35" t="s">
        <v>47</v>
      </c>
      <c r="C54" s="34" t="s">
        <v>48</v>
      </c>
      <c r="D54" s="33">
        <v>1</v>
      </c>
      <c r="E54" s="31">
        <v>9541</v>
      </c>
      <c r="F54" s="26">
        <v>9541</v>
      </c>
    </row>
    <row r="55" spans="1:6" ht="25.5" x14ac:dyDescent="0.25">
      <c r="A55" s="36">
        <v>2</v>
      </c>
      <c r="B55" s="35" t="s">
        <v>35</v>
      </c>
      <c r="C55" s="34" t="s">
        <v>36</v>
      </c>
      <c r="D55" s="33">
        <v>1</v>
      </c>
      <c r="E55" s="31">
        <v>727</v>
      </c>
      <c r="F55" s="26">
        <v>727</v>
      </c>
    </row>
    <row r="56" spans="1:6" ht="38.25" x14ac:dyDescent="0.25">
      <c r="A56" s="36">
        <v>3</v>
      </c>
      <c r="B56" s="35" t="s">
        <v>37</v>
      </c>
      <c r="C56" s="34" t="s">
        <v>38</v>
      </c>
      <c r="D56" s="33">
        <v>3</v>
      </c>
      <c r="E56" s="31">
        <v>1220</v>
      </c>
      <c r="F56" s="26">
        <v>3660</v>
      </c>
    </row>
    <row r="57" spans="1:6" ht="25.5" x14ac:dyDescent="0.25">
      <c r="A57" s="29">
        <v>4</v>
      </c>
      <c r="B57" s="35" t="s">
        <v>43</v>
      </c>
      <c r="C57" s="34" t="s">
        <v>44</v>
      </c>
      <c r="D57" s="33">
        <v>1</v>
      </c>
      <c r="E57" s="31">
        <v>3767</v>
      </c>
      <c r="F57" s="26">
        <v>3767</v>
      </c>
    </row>
    <row r="58" spans="1:6" ht="13.5" customHeight="1" x14ac:dyDescent="0.25">
      <c r="A58" s="29" t="s">
        <v>71</v>
      </c>
      <c r="B58" s="38" t="s">
        <v>62</v>
      </c>
      <c r="C58" s="39"/>
      <c r="D58" s="39"/>
      <c r="E58" s="39"/>
      <c r="F58" s="40"/>
    </row>
    <row r="59" spans="1:6" ht="45" x14ac:dyDescent="0.25">
      <c r="A59" s="29">
        <v>1</v>
      </c>
      <c r="B59" s="32" t="s">
        <v>33</v>
      </c>
      <c r="C59" s="32" t="s">
        <v>34</v>
      </c>
      <c r="D59" s="33">
        <v>1</v>
      </c>
      <c r="E59" s="31">
        <v>12439</v>
      </c>
      <c r="F59" s="26">
        <v>12439</v>
      </c>
    </row>
    <row r="60" spans="1:6" ht="25.5" x14ac:dyDescent="0.25">
      <c r="A60" s="36">
        <v>2</v>
      </c>
      <c r="B60" s="35" t="s">
        <v>35</v>
      </c>
      <c r="C60" s="34" t="s">
        <v>36</v>
      </c>
      <c r="D60" s="33">
        <v>1</v>
      </c>
      <c r="E60" s="31">
        <v>727</v>
      </c>
      <c r="F60" s="26">
        <v>727</v>
      </c>
    </row>
    <row r="61" spans="1:6" ht="38.25" x14ac:dyDescent="0.25">
      <c r="A61" s="36">
        <v>3</v>
      </c>
      <c r="B61" s="35" t="s">
        <v>37</v>
      </c>
      <c r="C61" s="34" t="s">
        <v>38</v>
      </c>
      <c r="D61" s="33">
        <v>1</v>
      </c>
      <c r="E61" s="31">
        <v>1220</v>
      </c>
      <c r="F61" s="26">
        <v>1220</v>
      </c>
    </row>
    <row r="62" spans="1:6" ht="38.25" x14ac:dyDescent="0.25">
      <c r="A62" s="29">
        <v>4</v>
      </c>
      <c r="B62" s="35" t="s">
        <v>41</v>
      </c>
      <c r="C62" s="34" t="s">
        <v>42</v>
      </c>
      <c r="D62" s="33">
        <v>1</v>
      </c>
      <c r="E62" s="31">
        <v>701</v>
      </c>
      <c r="F62" s="26">
        <v>701</v>
      </c>
    </row>
    <row r="63" spans="1:6" ht="25.5" x14ac:dyDescent="0.25">
      <c r="A63" s="36">
        <v>5</v>
      </c>
      <c r="B63" s="35" t="s">
        <v>43</v>
      </c>
      <c r="C63" s="34" t="s">
        <v>44</v>
      </c>
      <c r="D63" s="33">
        <v>1</v>
      </c>
      <c r="E63" s="31">
        <v>3767</v>
      </c>
      <c r="F63" s="26">
        <v>3767</v>
      </c>
    </row>
    <row r="64" spans="1:6" ht="24.6" customHeight="1" x14ac:dyDescent="0.25">
      <c r="A64" s="36">
        <v>6</v>
      </c>
      <c r="B64" s="35" t="s">
        <v>45</v>
      </c>
      <c r="C64" s="34" t="s">
        <v>46</v>
      </c>
      <c r="D64" s="33">
        <v>1</v>
      </c>
      <c r="E64" s="31">
        <v>7618</v>
      </c>
      <c r="F64" s="26">
        <v>7618</v>
      </c>
    </row>
    <row r="65" spans="1:9" ht="24.6" customHeight="1" x14ac:dyDescent="0.25">
      <c r="A65" s="51" t="s">
        <v>71</v>
      </c>
      <c r="B65" s="47" t="s">
        <v>88</v>
      </c>
      <c r="C65" s="48"/>
      <c r="D65" s="48"/>
      <c r="E65" s="48"/>
      <c r="F65" s="49"/>
      <c r="G65" s="50"/>
      <c r="H65" s="50"/>
      <c r="I65" s="50"/>
    </row>
    <row r="66" spans="1:9" ht="51" x14ac:dyDescent="0.25">
      <c r="A66" s="29">
        <v>1</v>
      </c>
      <c r="B66" s="43" t="s">
        <v>84</v>
      </c>
      <c r="C66" s="42" t="s">
        <v>85</v>
      </c>
      <c r="D66" s="44">
        <v>1</v>
      </c>
      <c r="E66" s="45">
        <v>3733</v>
      </c>
      <c r="F66" s="46">
        <v>3733</v>
      </c>
    </row>
    <row r="67" spans="1:9" ht="13.5" customHeight="1" x14ac:dyDescent="0.25">
      <c r="A67" s="29" t="s">
        <v>72</v>
      </c>
      <c r="B67" s="38" t="s">
        <v>69</v>
      </c>
      <c r="C67" s="39"/>
      <c r="D67" s="39"/>
      <c r="E67" s="39"/>
      <c r="F67" s="40"/>
    </row>
    <row r="68" spans="1:9" ht="89.25" x14ac:dyDescent="0.25">
      <c r="A68" s="36">
        <v>1</v>
      </c>
      <c r="B68" s="35" t="s">
        <v>49</v>
      </c>
      <c r="C68" s="34" t="s">
        <v>50</v>
      </c>
      <c r="D68" s="33">
        <v>5</v>
      </c>
      <c r="E68" s="31">
        <v>458</v>
      </c>
      <c r="F68" s="26">
        <v>2290</v>
      </c>
    </row>
    <row r="69" spans="1:9" ht="89.25" x14ac:dyDescent="0.25">
      <c r="A69" s="36">
        <v>2</v>
      </c>
      <c r="B69" s="35" t="s">
        <v>51</v>
      </c>
      <c r="C69" s="34" t="s">
        <v>52</v>
      </c>
      <c r="D69" s="33">
        <v>2</v>
      </c>
      <c r="E69" s="31">
        <v>1995</v>
      </c>
      <c r="F69" s="26">
        <v>3990</v>
      </c>
    </row>
    <row r="70" spans="1:9" ht="38.25" x14ac:dyDescent="0.25">
      <c r="A70" s="29">
        <v>3</v>
      </c>
      <c r="B70" s="43" t="s">
        <v>86</v>
      </c>
      <c r="C70" s="42" t="s">
        <v>87</v>
      </c>
      <c r="D70" s="44">
        <v>9</v>
      </c>
      <c r="E70" s="45">
        <v>2458</v>
      </c>
      <c r="F70" s="46">
        <v>22122</v>
      </c>
    </row>
    <row r="71" spans="1:9" ht="13.5" customHeight="1" x14ac:dyDescent="0.25">
      <c r="A71" s="29" t="s">
        <v>72</v>
      </c>
      <c r="B71" s="38" t="s">
        <v>73</v>
      </c>
      <c r="C71" s="39"/>
      <c r="D71" s="39"/>
      <c r="E71" s="39"/>
      <c r="F71" s="40"/>
    </row>
    <row r="72" spans="1:9" ht="25.5" x14ac:dyDescent="0.25">
      <c r="A72" s="36">
        <v>1</v>
      </c>
      <c r="B72" s="35" t="s">
        <v>74</v>
      </c>
      <c r="C72" s="34" t="s">
        <v>75</v>
      </c>
      <c r="D72" s="33">
        <v>1</v>
      </c>
      <c r="E72" s="31">
        <v>21951</v>
      </c>
      <c r="F72" s="26">
        <v>21951</v>
      </c>
    </row>
    <row r="73" spans="1:9" ht="15" x14ac:dyDescent="0.25">
      <c r="A73" s="29"/>
      <c r="B73" s="29"/>
      <c r="C73" s="69" t="s">
        <v>30</v>
      </c>
      <c r="D73" s="70"/>
      <c r="E73" s="71"/>
      <c r="F73" s="19">
        <f>SUM(F11:F72)</f>
        <v>242468</v>
      </c>
    </row>
    <row r="74" spans="1:9" ht="15" x14ac:dyDescent="0.25">
      <c r="A74" s="29"/>
      <c r="B74" s="29"/>
      <c r="C74" s="69" t="s">
        <v>31</v>
      </c>
      <c r="D74" s="70"/>
      <c r="E74" s="71"/>
      <c r="F74" s="19">
        <f>F73*0.15</f>
        <v>36370.199999999997</v>
      </c>
    </row>
    <row r="75" spans="1:9" ht="15" x14ac:dyDescent="0.25">
      <c r="A75" s="29"/>
      <c r="B75" s="29"/>
      <c r="C75" s="69" t="s">
        <v>32</v>
      </c>
      <c r="D75" s="70"/>
      <c r="E75" s="71"/>
      <c r="F75" s="19">
        <f>F73+F74</f>
        <v>278838.2</v>
      </c>
      <c r="I75" s="25"/>
    </row>
  </sheetData>
  <autoFilter ref="A10:F75" xr:uid="{166AC387-5042-44CD-81A4-75119DA9A582}">
    <filterColumn colId="3">
      <filters blank="1">
        <filter val="1"/>
        <filter val="2"/>
        <filter val="3"/>
        <filter val="5"/>
        <filter val="9"/>
      </filters>
    </filterColumn>
  </autoFilter>
  <mergeCells count="10">
    <mergeCell ref="C1:D1"/>
    <mergeCell ref="C2:D2"/>
    <mergeCell ref="C3:D3"/>
    <mergeCell ref="C74:E74"/>
    <mergeCell ref="C75:E75"/>
    <mergeCell ref="C73:E73"/>
    <mergeCell ref="B11:F11"/>
    <mergeCell ref="C4:D4"/>
    <mergeCell ref="C5:D5"/>
    <mergeCell ref="C6:D6"/>
  </mergeCells>
  <printOptions horizontalCentered="1" verticalCentered="1"/>
  <pageMargins left="0.25" right="0" top="0.75" bottom="0.75" header="0.3" footer="0.3"/>
  <pageSetup paperSize="9" scale="62" fitToHeight="0" orientation="landscape" r:id="rId1"/>
  <headerFooter alignWithMargins="0">
    <oddFooter>&amp;L&amp;P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1C240-8A14-4208-B423-FA03706B1520}">
  <sheetPr>
    <pageSetUpPr fitToPage="1"/>
  </sheetPr>
  <dimension ref="A1:S34"/>
  <sheetViews>
    <sheetView rightToLeft="1" tabSelected="1" zoomScale="95" zoomScaleNormal="115" zoomScaleSheetLayoutView="70" zoomScalePageLayoutView="50" workbookViewId="0">
      <pane ySplit="9" topLeftCell="A20" activePane="bottomLeft" state="frozen"/>
      <selection activeCell="F1" sqref="F1"/>
      <selection pane="bottomLeft" activeCell="A10" sqref="A10:F25"/>
    </sheetView>
  </sheetViews>
  <sheetFormatPr defaultRowHeight="12.75" outlineLevelRow="1" x14ac:dyDescent="0.25"/>
  <cols>
    <col min="1" max="1" width="7.28515625" style="1" bestFit="1" customWidth="1"/>
    <col min="2" max="2" width="16.85546875" style="7" customWidth="1"/>
    <col min="3" max="3" width="40.140625" style="3" customWidth="1"/>
    <col min="4" max="4" width="7.28515625" style="28" bestFit="1" customWidth="1"/>
    <col min="5" max="5" width="16" style="3" customWidth="1"/>
    <col min="6" max="6" width="16.5703125" style="3" customWidth="1"/>
    <col min="7" max="7" width="5.85546875" style="7" customWidth="1"/>
    <col min="8" max="8" width="7" style="7" customWidth="1"/>
    <col min="9" max="9" width="9.7109375" style="7" customWidth="1"/>
    <col min="10" max="10" width="16.28515625" style="7" customWidth="1"/>
    <col min="11" max="11" width="14.140625" style="7" customWidth="1"/>
    <col min="12" max="12" width="16.28515625" style="7" customWidth="1"/>
    <col min="13" max="13" width="7.28515625" style="7" customWidth="1"/>
    <col min="14" max="14" width="13.5703125" style="20" customWidth="1"/>
    <col min="15" max="15" width="14.28515625" style="20" customWidth="1"/>
    <col min="16" max="16" width="11.5703125" style="20" customWidth="1"/>
    <col min="17" max="17" width="6.5703125" style="7" customWidth="1"/>
    <col min="18" max="18" width="8.85546875" style="7"/>
    <col min="19" max="19" width="12" style="7" bestFit="1" customWidth="1"/>
    <col min="20" max="213" width="8.85546875" style="7"/>
    <col min="214" max="214" width="4.42578125" style="7" customWidth="1"/>
    <col min="215" max="215" width="13.7109375" style="7" customWidth="1"/>
    <col min="216" max="216" width="42.5703125" style="7" customWidth="1"/>
    <col min="217" max="217" width="5.85546875" style="7" bestFit="1" customWidth="1"/>
    <col min="218" max="218" width="16" style="7" bestFit="1" customWidth="1"/>
    <col min="219" max="219" width="17.140625" style="7" bestFit="1" customWidth="1"/>
    <col min="220" max="220" width="2.7109375" style="7" customWidth="1"/>
    <col min="221" max="221" width="3.140625" style="7" customWidth="1"/>
    <col min="222" max="222" width="9.7109375" style="7" customWidth="1"/>
    <col min="223" max="223" width="16.28515625" style="7" bestFit="1" customWidth="1"/>
    <col min="224" max="224" width="14.140625" style="7" customWidth="1"/>
    <col min="225" max="225" width="15.28515625" style="7" bestFit="1" customWidth="1"/>
    <col min="226" max="226" width="10.42578125" style="7" bestFit="1" customWidth="1"/>
    <col min="227" max="227" width="58" style="7" customWidth="1"/>
    <col min="228" max="469" width="8.85546875" style="7"/>
    <col min="470" max="470" width="4.42578125" style="7" customWidth="1"/>
    <col min="471" max="471" width="13.7109375" style="7" customWidth="1"/>
    <col min="472" max="472" width="42.5703125" style="7" customWidth="1"/>
    <col min="473" max="473" width="5.85546875" style="7" bestFit="1" customWidth="1"/>
    <col min="474" max="474" width="16" style="7" bestFit="1" customWidth="1"/>
    <col min="475" max="475" width="17.140625" style="7" bestFit="1" customWidth="1"/>
    <col min="476" max="476" width="2.7109375" style="7" customWidth="1"/>
    <col min="477" max="477" width="3.140625" style="7" customWidth="1"/>
    <col min="478" max="478" width="9.7109375" style="7" customWidth="1"/>
    <col min="479" max="479" width="16.28515625" style="7" bestFit="1" customWidth="1"/>
    <col min="480" max="480" width="14.140625" style="7" customWidth="1"/>
    <col min="481" max="481" width="15.28515625" style="7" bestFit="1" customWidth="1"/>
    <col min="482" max="482" width="10.42578125" style="7" bestFit="1" customWidth="1"/>
    <col min="483" max="483" width="58" style="7" customWidth="1"/>
    <col min="484" max="725" width="8.85546875" style="7"/>
    <col min="726" max="726" width="4.42578125" style="7" customWidth="1"/>
    <col min="727" max="727" width="13.7109375" style="7" customWidth="1"/>
    <col min="728" max="728" width="42.5703125" style="7" customWidth="1"/>
    <col min="729" max="729" width="5.85546875" style="7" bestFit="1" customWidth="1"/>
    <col min="730" max="730" width="16" style="7" bestFit="1" customWidth="1"/>
    <col min="731" max="731" width="17.140625" style="7" bestFit="1" customWidth="1"/>
    <col min="732" max="732" width="2.7109375" style="7" customWidth="1"/>
    <col min="733" max="733" width="3.140625" style="7" customWidth="1"/>
    <col min="734" max="734" width="9.7109375" style="7" customWidth="1"/>
    <col min="735" max="735" width="16.28515625" style="7" bestFit="1" customWidth="1"/>
    <col min="736" max="736" width="14.140625" style="7" customWidth="1"/>
    <col min="737" max="737" width="15.28515625" style="7" bestFit="1" customWidth="1"/>
    <col min="738" max="738" width="10.42578125" style="7" bestFit="1" customWidth="1"/>
    <col min="739" max="739" width="58" style="7" customWidth="1"/>
    <col min="740" max="981" width="8.85546875" style="7"/>
    <col min="982" max="982" width="4.42578125" style="7" customWidth="1"/>
    <col min="983" max="983" width="13.7109375" style="7" customWidth="1"/>
    <col min="984" max="984" width="42.5703125" style="7" customWidth="1"/>
    <col min="985" max="985" width="5.85546875" style="7" bestFit="1" customWidth="1"/>
    <col min="986" max="986" width="16" style="7" bestFit="1" customWidth="1"/>
    <col min="987" max="987" width="17.140625" style="7" bestFit="1" customWidth="1"/>
    <col min="988" max="988" width="2.7109375" style="7" customWidth="1"/>
    <col min="989" max="989" width="3.140625" style="7" customWidth="1"/>
    <col min="990" max="990" width="9.7109375" style="7" customWidth="1"/>
    <col min="991" max="991" width="16.28515625" style="7" bestFit="1" customWidth="1"/>
    <col min="992" max="992" width="14.140625" style="7" customWidth="1"/>
    <col min="993" max="993" width="15.28515625" style="7" bestFit="1" customWidth="1"/>
    <col min="994" max="994" width="10.42578125" style="7" bestFit="1" customWidth="1"/>
    <col min="995" max="995" width="58" style="7" customWidth="1"/>
    <col min="996" max="1237" width="8.85546875" style="7"/>
    <col min="1238" max="1238" width="4.42578125" style="7" customWidth="1"/>
    <col min="1239" max="1239" width="13.7109375" style="7" customWidth="1"/>
    <col min="1240" max="1240" width="42.5703125" style="7" customWidth="1"/>
    <col min="1241" max="1241" width="5.85546875" style="7" bestFit="1" customWidth="1"/>
    <col min="1242" max="1242" width="16" style="7" bestFit="1" customWidth="1"/>
    <col min="1243" max="1243" width="17.140625" style="7" bestFit="1" customWidth="1"/>
    <col min="1244" max="1244" width="2.7109375" style="7" customWidth="1"/>
    <col min="1245" max="1245" width="3.140625" style="7" customWidth="1"/>
    <col min="1246" max="1246" width="9.7109375" style="7" customWidth="1"/>
    <col min="1247" max="1247" width="16.28515625" style="7" bestFit="1" customWidth="1"/>
    <col min="1248" max="1248" width="14.140625" style="7" customWidth="1"/>
    <col min="1249" max="1249" width="15.28515625" style="7" bestFit="1" customWidth="1"/>
    <col min="1250" max="1250" width="10.42578125" style="7" bestFit="1" customWidth="1"/>
    <col min="1251" max="1251" width="58" style="7" customWidth="1"/>
    <col min="1252" max="1493" width="8.85546875" style="7"/>
    <col min="1494" max="1494" width="4.42578125" style="7" customWidth="1"/>
    <col min="1495" max="1495" width="13.7109375" style="7" customWidth="1"/>
    <col min="1496" max="1496" width="42.5703125" style="7" customWidth="1"/>
    <col min="1497" max="1497" width="5.85546875" style="7" bestFit="1" customWidth="1"/>
    <col min="1498" max="1498" width="16" style="7" bestFit="1" customWidth="1"/>
    <col min="1499" max="1499" width="17.140625" style="7" bestFit="1" customWidth="1"/>
    <col min="1500" max="1500" width="2.7109375" style="7" customWidth="1"/>
    <col min="1501" max="1501" width="3.140625" style="7" customWidth="1"/>
    <col min="1502" max="1502" width="9.7109375" style="7" customWidth="1"/>
    <col min="1503" max="1503" width="16.28515625" style="7" bestFit="1" customWidth="1"/>
    <col min="1504" max="1504" width="14.140625" style="7" customWidth="1"/>
    <col min="1505" max="1505" width="15.28515625" style="7" bestFit="1" customWidth="1"/>
    <col min="1506" max="1506" width="10.42578125" style="7" bestFit="1" customWidth="1"/>
    <col min="1507" max="1507" width="58" style="7" customWidth="1"/>
    <col min="1508" max="1749" width="8.85546875" style="7"/>
    <col min="1750" max="1750" width="4.42578125" style="7" customWidth="1"/>
    <col min="1751" max="1751" width="13.7109375" style="7" customWidth="1"/>
    <col min="1752" max="1752" width="42.5703125" style="7" customWidth="1"/>
    <col min="1753" max="1753" width="5.85546875" style="7" bestFit="1" customWidth="1"/>
    <col min="1754" max="1754" width="16" style="7" bestFit="1" customWidth="1"/>
    <col min="1755" max="1755" width="17.140625" style="7" bestFit="1" customWidth="1"/>
    <col min="1756" max="1756" width="2.7109375" style="7" customWidth="1"/>
    <col min="1757" max="1757" width="3.140625" style="7" customWidth="1"/>
    <col min="1758" max="1758" width="9.7109375" style="7" customWidth="1"/>
    <col min="1759" max="1759" width="16.28515625" style="7" bestFit="1" customWidth="1"/>
    <col min="1760" max="1760" width="14.140625" style="7" customWidth="1"/>
    <col min="1761" max="1761" width="15.28515625" style="7" bestFit="1" customWidth="1"/>
    <col min="1762" max="1762" width="10.42578125" style="7" bestFit="1" customWidth="1"/>
    <col min="1763" max="1763" width="58" style="7" customWidth="1"/>
    <col min="1764" max="2005" width="8.85546875" style="7"/>
    <col min="2006" max="2006" width="4.42578125" style="7" customWidth="1"/>
    <col min="2007" max="2007" width="13.7109375" style="7" customWidth="1"/>
    <col min="2008" max="2008" width="42.5703125" style="7" customWidth="1"/>
    <col min="2009" max="2009" width="5.85546875" style="7" bestFit="1" customWidth="1"/>
    <col min="2010" max="2010" width="16" style="7" bestFit="1" customWidth="1"/>
    <col min="2011" max="2011" width="17.140625" style="7" bestFit="1" customWidth="1"/>
    <col min="2012" max="2012" width="2.7109375" style="7" customWidth="1"/>
    <col min="2013" max="2013" width="3.140625" style="7" customWidth="1"/>
    <col min="2014" max="2014" width="9.7109375" style="7" customWidth="1"/>
    <col min="2015" max="2015" width="16.28515625" style="7" bestFit="1" customWidth="1"/>
    <col min="2016" max="2016" width="14.140625" style="7" customWidth="1"/>
    <col min="2017" max="2017" width="15.28515625" style="7" bestFit="1" customWidth="1"/>
    <col min="2018" max="2018" width="10.42578125" style="7" bestFit="1" customWidth="1"/>
    <col min="2019" max="2019" width="58" style="7" customWidth="1"/>
    <col min="2020" max="2261" width="8.85546875" style="7"/>
    <col min="2262" max="2262" width="4.42578125" style="7" customWidth="1"/>
    <col min="2263" max="2263" width="13.7109375" style="7" customWidth="1"/>
    <col min="2264" max="2264" width="42.5703125" style="7" customWidth="1"/>
    <col min="2265" max="2265" width="5.85546875" style="7" bestFit="1" customWidth="1"/>
    <col min="2266" max="2266" width="16" style="7" bestFit="1" customWidth="1"/>
    <col min="2267" max="2267" width="17.140625" style="7" bestFit="1" customWidth="1"/>
    <col min="2268" max="2268" width="2.7109375" style="7" customWidth="1"/>
    <col min="2269" max="2269" width="3.140625" style="7" customWidth="1"/>
    <col min="2270" max="2270" width="9.7109375" style="7" customWidth="1"/>
    <col min="2271" max="2271" width="16.28515625" style="7" bestFit="1" customWidth="1"/>
    <col min="2272" max="2272" width="14.140625" style="7" customWidth="1"/>
    <col min="2273" max="2273" width="15.28515625" style="7" bestFit="1" customWidth="1"/>
    <col min="2274" max="2274" width="10.42578125" style="7" bestFit="1" customWidth="1"/>
    <col min="2275" max="2275" width="58" style="7" customWidth="1"/>
    <col min="2276" max="2517" width="8.85546875" style="7"/>
    <col min="2518" max="2518" width="4.42578125" style="7" customWidth="1"/>
    <col min="2519" max="2519" width="13.7109375" style="7" customWidth="1"/>
    <col min="2520" max="2520" width="42.5703125" style="7" customWidth="1"/>
    <col min="2521" max="2521" width="5.85546875" style="7" bestFit="1" customWidth="1"/>
    <col min="2522" max="2522" width="16" style="7" bestFit="1" customWidth="1"/>
    <col min="2523" max="2523" width="17.140625" style="7" bestFit="1" customWidth="1"/>
    <col min="2524" max="2524" width="2.7109375" style="7" customWidth="1"/>
    <col min="2525" max="2525" width="3.140625" style="7" customWidth="1"/>
    <col min="2526" max="2526" width="9.7109375" style="7" customWidth="1"/>
    <col min="2527" max="2527" width="16.28515625" style="7" bestFit="1" customWidth="1"/>
    <col min="2528" max="2528" width="14.140625" style="7" customWidth="1"/>
    <col min="2529" max="2529" width="15.28515625" style="7" bestFit="1" customWidth="1"/>
    <col min="2530" max="2530" width="10.42578125" style="7" bestFit="1" customWidth="1"/>
    <col min="2531" max="2531" width="58" style="7" customWidth="1"/>
    <col min="2532" max="2773" width="8.85546875" style="7"/>
    <col min="2774" max="2774" width="4.42578125" style="7" customWidth="1"/>
    <col min="2775" max="2775" width="13.7109375" style="7" customWidth="1"/>
    <col min="2776" max="2776" width="42.5703125" style="7" customWidth="1"/>
    <col min="2777" max="2777" width="5.85546875" style="7" bestFit="1" customWidth="1"/>
    <col min="2778" max="2778" width="16" style="7" bestFit="1" customWidth="1"/>
    <col min="2779" max="2779" width="17.140625" style="7" bestFit="1" customWidth="1"/>
    <col min="2780" max="2780" width="2.7109375" style="7" customWidth="1"/>
    <col min="2781" max="2781" width="3.140625" style="7" customWidth="1"/>
    <col min="2782" max="2782" width="9.7109375" style="7" customWidth="1"/>
    <col min="2783" max="2783" width="16.28515625" style="7" bestFit="1" customWidth="1"/>
    <col min="2784" max="2784" width="14.140625" style="7" customWidth="1"/>
    <col min="2785" max="2785" width="15.28515625" style="7" bestFit="1" customWidth="1"/>
    <col min="2786" max="2786" width="10.42578125" style="7" bestFit="1" customWidth="1"/>
    <col min="2787" max="2787" width="58" style="7" customWidth="1"/>
    <col min="2788" max="3029" width="8.85546875" style="7"/>
    <col min="3030" max="3030" width="4.42578125" style="7" customWidth="1"/>
    <col min="3031" max="3031" width="13.7109375" style="7" customWidth="1"/>
    <col min="3032" max="3032" width="42.5703125" style="7" customWidth="1"/>
    <col min="3033" max="3033" width="5.85546875" style="7" bestFit="1" customWidth="1"/>
    <col min="3034" max="3034" width="16" style="7" bestFit="1" customWidth="1"/>
    <col min="3035" max="3035" width="17.140625" style="7" bestFit="1" customWidth="1"/>
    <col min="3036" max="3036" width="2.7109375" style="7" customWidth="1"/>
    <col min="3037" max="3037" width="3.140625" style="7" customWidth="1"/>
    <col min="3038" max="3038" width="9.7109375" style="7" customWidth="1"/>
    <col min="3039" max="3039" width="16.28515625" style="7" bestFit="1" customWidth="1"/>
    <col min="3040" max="3040" width="14.140625" style="7" customWidth="1"/>
    <col min="3041" max="3041" width="15.28515625" style="7" bestFit="1" customWidth="1"/>
    <col min="3042" max="3042" width="10.42578125" style="7" bestFit="1" customWidth="1"/>
    <col min="3043" max="3043" width="58" style="7" customWidth="1"/>
    <col min="3044" max="3285" width="8.85546875" style="7"/>
    <col min="3286" max="3286" width="4.42578125" style="7" customWidth="1"/>
    <col min="3287" max="3287" width="13.7109375" style="7" customWidth="1"/>
    <col min="3288" max="3288" width="42.5703125" style="7" customWidth="1"/>
    <col min="3289" max="3289" width="5.85546875" style="7" bestFit="1" customWidth="1"/>
    <col min="3290" max="3290" width="16" style="7" bestFit="1" customWidth="1"/>
    <col min="3291" max="3291" width="17.140625" style="7" bestFit="1" customWidth="1"/>
    <col min="3292" max="3292" width="2.7109375" style="7" customWidth="1"/>
    <col min="3293" max="3293" width="3.140625" style="7" customWidth="1"/>
    <col min="3294" max="3294" width="9.7109375" style="7" customWidth="1"/>
    <col min="3295" max="3295" width="16.28515625" style="7" bestFit="1" customWidth="1"/>
    <col min="3296" max="3296" width="14.140625" style="7" customWidth="1"/>
    <col min="3297" max="3297" width="15.28515625" style="7" bestFit="1" customWidth="1"/>
    <col min="3298" max="3298" width="10.42578125" style="7" bestFit="1" customWidth="1"/>
    <col min="3299" max="3299" width="58" style="7" customWidth="1"/>
    <col min="3300" max="3541" width="8.85546875" style="7"/>
    <col min="3542" max="3542" width="4.42578125" style="7" customWidth="1"/>
    <col min="3543" max="3543" width="13.7109375" style="7" customWidth="1"/>
    <col min="3544" max="3544" width="42.5703125" style="7" customWidth="1"/>
    <col min="3545" max="3545" width="5.85546875" style="7" bestFit="1" customWidth="1"/>
    <col min="3546" max="3546" width="16" style="7" bestFit="1" customWidth="1"/>
    <col min="3547" max="3547" width="17.140625" style="7" bestFit="1" customWidth="1"/>
    <col min="3548" max="3548" width="2.7109375" style="7" customWidth="1"/>
    <col min="3549" max="3549" width="3.140625" style="7" customWidth="1"/>
    <col min="3550" max="3550" width="9.7109375" style="7" customWidth="1"/>
    <col min="3551" max="3551" width="16.28515625" style="7" bestFit="1" customWidth="1"/>
    <col min="3552" max="3552" width="14.140625" style="7" customWidth="1"/>
    <col min="3553" max="3553" width="15.28515625" style="7" bestFit="1" customWidth="1"/>
    <col min="3554" max="3554" width="10.42578125" style="7" bestFit="1" customWidth="1"/>
    <col min="3555" max="3555" width="58" style="7" customWidth="1"/>
    <col min="3556" max="3797" width="8.85546875" style="7"/>
    <col min="3798" max="3798" width="4.42578125" style="7" customWidth="1"/>
    <col min="3799" max="3799" width="13.7109375" style="7" customWidth="1"/>
    <col min="3800" max="3800" width="42.5703125" style="7" customWidth="1"/>
    <col min="3801" max="3801" width="5.85546875" style="7" bestFit="1" customWidth="1"/>
    <col min="3802" max="3802" width="16" style="7" bestFit="1" customWidth="1"/>
    <col min="3803" max="3803" width="17.140625" style="7" bestFit="1" customWidth="1"/>
    <col min="3804" max="3804" width="2.7109375" style="7" customWidth="1"/>
    <col min="3805" max="3805" width="3.140625" style="7" customWidth="1"/>
    <col min="3806" max="3806" width="9.7109375" style="7" customWidth="1"/>
    <col min="3807" max="3807" width="16.28515625" style="7" bestFit="1" customWidth="1"/>
    <col min="3808" max="3808" width="14.140625" style="7" customWidth="1"/>
    <col min="3809" max="3809" width="15.28515625" style="7" bestFit="1" customWidth="1"/>
    <col min="3810" max="3810" width="10.42578125" style="7" bestFit="1" customWidth="1"/>
    <col min="3811" max="3811" width="58" style="7" customWidth="1"/>
    <col min="3812" max="4053" width="8.85546875" style="7"/>
    <col min="4054" max="4054" width="4.42578125" style="7" customWidth="1"/>
    <col min="4055" max="4055" width="13.7109375" style="7" customWidth="1"/>
    <col min="4056" max="4056" width="42.5703125" style="7" customWidth="1"/>
    <col min="4057" max="4057" width="5.85546875" style="7" bestFit="1" customWidth="1"/>
    <col min="4058" max="4058" width="16" style="7" bestFit="1" customWidth="1"/>
    <col min="4059" max="4059" width="17.140625" style="7" bestFit="1" customWidth="1"/>
    <col min="4060" max="4060" width="2.7109375" style="7" customWidth="1"/>
    <col min="4061" max="4061" width="3.140625" style="7" customWidth="1"/>
    <col min="4062" max="4062" width="9.7109375" style="7" customWidth="1"/>
    <col min="4063" max="4063" width="16.28515625" style="7" bestFit="1" customWidth="1"/>
    <col min="4064" max="4064" width="14.140625" style="7" customWidth="1"/>
    <col min="4065" max="4065" width="15.28515625" style="7" bestFit="1" customWidth="1"/>
    <col min="4066" max="4066" width="10.42578125" style="7" bestFit="1" customWidth="1"/>
    <col min="4067" max="4067" width="58" style="7" customWidth="1"/>
    <col min="4068" max="4309" width="8.85546875" style="7"/>
    <col min="4310" max="4310" width="4.42578125" style="7" customWidth="1"/>
    <col min="4311" max="4311" width="13.7109375" style="7" customWidth="1"/>
    <col min="4312" max="4312" width="42.5703125" style="7" customWidth="1"/>
    <col min="4313" max="4313" width="5.85546875" style="7" bestFit="1" customWidth="1"/>
    <col min="4314" max="4314" width="16" style="7" bestFit="1" customWidth="1"/>
    <col min="4315" max="4315" width="17.140625" style="7" bestFit="1" customWidth="1"/>
    <col min="4316" max="4316" width="2.7109375" style="7" customWidth="1"/>
    <col min="4317" max="4317" width="3.140625" style="7" customWidth="1"/>
    <col min="4318" max="4318" width="9.7109375" style="7" customWidth="1"/>
    <col min="4319" max="4319" width="16.28515625" style="7" bestFit="1" customWidth="1"/>
    <col min="4320" max="4320" width="14.140625" style="7" customWidth="1"/>
    <col min="4321" max="4321" width="15.28515625" style="7" bestFit="1" customWidth="1"/>
    <col min="4322" max="4322" width="10.42578125" style="7" bestFit="1" customWidth="1"/>
    <col min="4323" max="4323" width="58" style="7" customWidth="1"/>
    <col min="4324" max="4565" width="8.85546875" style="7"/>
    <col min="4566" max="4566" width="4.42578125" style="7" customWidth="1"/>
    <col min="4567" max="4567" width="13.7109375" style="7" customWidth="1"/>
    <col min="4568" max="4568" width="42.5703125" style="7" customWidth="1"/>
    <col min="4569" max="4569" width="5.85546875" style="7" bestFit="1" customWidth="1"/>
    <col min="4570" max="4570" width="16" style="7" bestFit="1" customWidth="1"/>
    <col min="4571" max="4571" width="17.140625" style="7" bestFit="1" customWidth="1"/>
    <col min="4572" max="4572" width="2.7109375" style="7" customWidth="1"/>
    <col min="4573" max="4573" width="3.140625" style="7" customWidth="1"/>
    <col min="4574" max="4574" width="9.7109375" style="7" customWidth="1"/>
    <col min="4575" max="4575" width="16.28515625" style="7" bestFit="1" customWidth="1"/>
    <col min="4576" max="4576" width="14.140625" style="7" customWidth="1"/>
    <col min="4577" max="4577" width="15.28515625" style="7" bestFit="1" customWidth="1"/>
    <col min="4578" max="4578" width="10.42578125" style="7" bestFit="1" customWidth="1"/>
    <col min="4579" max="4579" width="58" style="7" customWidth="1"/>
    <col min="4580" max="4821" width="8.85546875" style="7"/>
    <col min="4822" max="4822" width="4.42578125" style="7" customWidth="1"/>
    <col min="4823" max="4823" width="13.7109375" style="7" customWidth="1"/>
    <col min="4824" max="4824" width="42.5703125" style="7" customWidth="1"/>
    <col min="4825" max="4825" width="5.85546875" style="7" bestFit="1" customWidth="1"/>
    <col min="4826" max="4826" width="16" style="7" bestFit="1" customWidth="1"/>
    <col min="4827" max="4827" width="17.140625" style="7" bestFit="1" customWidth="1"/>
    <col min="4828" max="4828" width="2.7109375" style="7" customWidth="1"/>
    <col min="4829" max="4829" width="3.140625" style="7" customWidth="1"/>
    <col min="4830" max="4830" width="9.7109375" style="7" customWidth="1"/>
    <col min="4831" max="4831" width="16.28515625" style="7" bestFit="1" customWidth="1"/>
    <col min="4832" max="4832" width="14.140625" style="7" customWidth="1"/>
    <col min="4833" max="4833" width="15.28515625" style="7" bestFit="1" customWidth="1"/>
    <col min="4834" max="4834" width="10.42578125" style="7" bestFit="1" customWidth="1"/>
    <col min="4835" max="4835" width="58" style="7" customWidth="1"/>
    <col min="4836" max="5077" width="8.85546875" style="7"/>
    <col min="5078" max="5078" width="4.42578125" style="7" customWidth="1"/>
    <col min="5079" max="5079" width="13.7109375" style="7" customWidth="1"/>
    <col min="5080" max="5080" width="42.5703125" style="7" customWidth="1"/>
    <col min="5081" max="5081" width="5.85546875" style="7" bestFit="1" customWidth="1"/>
    <col min="5082" max="5082" width="16" style="7" bestFit="1" customWidth="1"/>
    <col min="5083" max="5083" width="17.140625" style="7" bestFit="1" customWidth="1"/>
    <col min="5084" max="5084" width="2.7109375" style="7" customWidth="1"/>
    <col min="5085" max="5085" width="3.140625" style="7" customWidth="1"/>
    <col min="5086" max="5086" width="9.7109375" style="7" customWidth="1"/>
    <col min="5087" max="5087" width="16.28515625" style="7" bestFit="1" customWidth="1"/>
    <col min="5088" max="5088" width="14.140625" style="7" customWidth="1"/>
    <col min="5089" max="5089" width="15.28515625" style="7" bestFit="1" customWidth="1"/>
    <col min="5090" max="5090" width="10.42578125" style="7" bestFit="1" customWidth="1"/>
    <col min="5091" max="5091" width="58" style="7" customWidth="1"/>
    <col min="5092" max="5333" width="8.85546875" style="7"/>
    <col min="5334" max="5334" width="4.42578125" style="7" customWidth="1"/>
    <col min="5335" max="5335" width="13.7109375" style="7" customWidth="1"/>
    <col min="5336" max="5336" width="42.5703125" style="7" customWidth="1"/>
    <col min="5337" max="5337" width="5.85546875" style="7" bestFit="1" customWidth="1"/>
    <col min="5338" max="5338" width="16" style="7" bestFit="1" customWidth="1"/>
    <col min="5339" max="5339" width="17.140625" style="7" bestFit="1" customWidth="1"/>
    <col min="5340" max="5340" width="2.7109375" style="7" customWidth="1"/>
    <col min="5341" max="5341" width="3.140625" style="7" customWidth="1"/>
    <col min="5342" max="5342" width="9.7109375" style="7" customWidth="1"/>
    <col min="5343" max="5343" width="16.28515625" style="7" bestFit="1" customWidth="1"/>
    <col min="5344" max="5344" width="14.140625" style="7" customWidth="1"/>
    <col min="5345" max="5345" width="15.28515625" style="7" bestFit="1" customWidth="1"/>
    <col min="5346" max="5346" width="10.42578125" style="7" bestFit="1" customWidth="1"/>
    <col min="5347" max="5347" width="58" style="7" customWidth="1"/>
    <col min="5348" max="5589" width="8.85546875" style="7"/>
    <col min="5590" max="5590" width="4.42578125" style="7" customWidth="1"/>
    <col min="5591" max="5591" width="13.7109375" style="7" customWidth="1"/>
    <col min="5592" max="5592" width="42.5703125" style="7" customWidth="1"/>
    <col min="5593" max="5593" width="5.85546875" style="7" bestFit="1" customWidth="1"/>
    <col min="5594" max="5594" width="16" style="7" bestFit="1" customWidth="1"/>
    <col min="5595" max="5595" width="17.140625" style="7" bestFit="1" customWidth="1"/>
    <col min="5596" max="5596" width="2.7109375" style="7" customWidth="1"/>
    <col min="5597" max="5597" width="3.140625" style="7" customWidth="1"/>
    <col min="5598" max="5598" width="9.7109375" style="7" customWidth="1"/>
    <col min="5599" max="5599" width="16.28515625" style="7" bestFit="1" customWidth="1"/>
    <col min="5600" max="5600" width="14.140625" style="7" customWidth="1"/>
    <col min="5601" max="5601" width="15.28515625" style="7" bestFit="1" customWidth="1"/>
    <col min="5602" max="5602" width="10.42578125" style="7" bestFit="1" customWidth="1"/>
    <col min="5603" max="5603" width="58" style="7" customWidth="1"/>
    <col min="5604" max="5845" width="8.85546875" style="7"/>
    <col min="5846" max="5846" width="4.42578125" style="7" customWidth="1"/>
    <col min="5847" max="5847" width="13.7109375" style="7" customWidth="1"/>
    <col min="5848" max="5848" width="42.5703125" style="7" customWidth="1"/>
    <col min="5849" max="5849" width="5.85546875" style="7" bestFit="1" customWidth="1"/>
    <col min="5850" max="5850" width="16" style="7" bestFit="1" customWidth="1"/>
    <col min="5851" max="5851" width="17.140625" style="7" bestFit="1" customWidth="1"/>
    <col min="5852" max="5852" width="2.7109375" style="7" customWidth="1"/>
    <col min="5853" max="5853" width="3.140625" style="7" customWidth="1"/>
    <col min="5854" max="5854" width="9.7109375" style="7" customWidth="1"/>
    <col min="5855" max="5855" width="16.28515625" style="7" bestFit="1" customWidth="1"/>
    <col min="5856" max="5856" width="14.140625" style="7" customWidth="1"/>
    <col min="5857" max="5857" width="15.28515625" style="7" bestFit="1" customWidth="1"/>
    <col min="5858" max="5858" width="10.42578125" style="7" bestFit="1" customWidth="1"/>
    <col min="5859" max="5859" width="58" style="7" customWidth="1"/>
    <col min="5860" max="6101" width="8.85546875" style="7"/>
    <col min="6102" max="6102" width="4.42578125" style="7" customWidth="1"/>
    <col min="6103" max="6103" width="13.7109375" style="7" customWidth="1"/>
    <col min="6104" max="6104" width="42.5703125" style="7" customWidth="1"/>
    <col min="6105" max="6105" width="5.85546875" style="7" bestFit="1" customWidth="1"/>
    <col min="6106" max="6106" width="16" style="7" bestFit="1" customWidth="1"/>
    <col min="6107" max="6107" width="17.140625" style="7" bestFit="1" customWidth="1"/>
    <col min="6108" max="6108" width="2.7109375" style="7" customWidth="1"/>
    <col min="6109" max="6109" width="3.140625" style="7" customWidth="1"/>
    <col min="6110" max="6110" width="9.7109375" style="7" customWidth="1"/>
    <col min="6111" max="6111" width="16.28515625" style="7" bestFit="1" customWidth="1"/>
    <col min="6112" max="6112" width="14.140625" style="7" customWidth="1"/>
    <col min="6113" max="6113" width="15.28515625" style="7" bestFit="1" customWidth="1"/>
    <col min="6114" max="6114" width="10.42578125" style="7" bestFit="1" customWidth="1"/>
    <col min="6115" max="6115" width="58" style="7" customWidth="1"/>
    <col min="6116" max="6357" width="8.85546875" style="7"/>
    <col min="6358" max="6358" width="4.42578125" style="7" customWidth="1"/>
    <col min="6359" max="6359" width="13.7109375" style="7" customWidth="1"/>
    <col min="6360" max="6360" width="42.5703125" style="7" customWidth="1"/>
    <col min="6361" max="6361" width="5.85546875" style="7" bestFit="1" customWidth="1"/>
    <col min="6362" max="6362" width="16" style="7" bestFit="1" customWidth="1"/>
    <col min="6363" max="6363" width="17.140625" style="7" bestFit="1" customWidth="1"/>
    <col min="6364" max="6364" width="2.7109375" style="7" customWidth="1"/>
    <col min="6365" max="6365" width="3.140625" style="7" customWidth="1"/>
    <col min="6366" max="6366" width="9.7109375" style="7" customWidth="1"/>
    <col min="6367" max="6367" width="16.28515625" style="7" bestFit="1" customWidth="1"/>
    <col min="6368" max="6368" width="14.140625" style="7" customWidth="1"/>
    <col min="6369" max="6369" width="15.28515625" style="7" bestFit="1" customWidth="1"/>
    <col min="6370" max="6370" width="10.42578125" style="7" bestFit="1" customWidth="1"/>
    <col min="6371" max="6371" width="58" style="7" customWidth="1"/>
    <col min="6372" max="6613" width="8.85546875" style="7"/>
    <col min="6614" max="6614" width="4.42578125" style="7" customWidth="1"/>
    <col min="6615" max="6615" width="13.7109375" style="7" customWidth="1"/>
    <col min="6616" max="6616" width="42.5703125" style="7" customWidth="1"/>
    <col min="6617" max="6617" width="5.85546875" style="7" bestFit="1" customWidth="1"/>
    <col min="6618" max="6618" width="16" style="7" bestFit="1" customWidth="1"/>
    <col min="6619" max="6619" width="17.140625" style="7" bestFit="1" customWidth="1"/>
    <col min="6620" max="6620" width="2.7109375" style="7" customWidth="1"/>
    <col min="6621" max="6621" width="3.140625" style="7" customWidth="1"/>
    <col min="6622" max="6622" width="9.7109375" style="7" customWidth="1"/>
    <col min="6623" max="6623" width="16.28515625" style="7" bestFit="1" customWidth="1"/>
    <col min="6624" max="6624" width="14.140625" style="7" customWidth="1"/>
    <col min="6625" max="6625" width="15.28515625" style="7" bestFit="1" customWidth="1"/>
    <col min="6626" max="6626" width="10.42578125" style="7" bestFit="1" customWidth="1"/>
    <col min="6627" max="6627" width="58" style="7" customWidth="1"/>
    <col min="6628" max="6869" width="8.85546875" style="7"/>
    <col min="6870" max="6870" width="4.42578125" style="7" customWidth="1"/>
    <col min="6871" max="6871" width="13.7109375" style="7" customWidth="1"/>
    <col min="6872" max="6872" width="42.5703125" style="7" customWidth="1"/>
    <col min="6873" max="6873" width="5.85546875" style="7" bestFit="1" customWidth="1"/>
    <col min="6874" max="6874" width="16" style="7" bestFit="1" customWidth="1"/>
    <col min="6875" max="6875" width="17.140625" style="7" bestFit="1" customWidth="1"/>
    <col min="6876" max="6876" width="2.7109375" style="7" customWidth="1"/>
    <col min="6877" max="6877" width="3.140625" style="7" customWidth="1"/>
    <col min="6878" max="6878" width="9.7109375" style="7" customWidth="1"/>
    <col min="6879" max="6879" width="16.28515625" style="7" bestFit="1" customWidth="1"/>
    <col min="6880" max="6880" width="14.140625" style="7" customWidth="1"/>
    <col min="6881" max="6881" width="15.28515625" style="7" bestFit="1" customWidth="1"/>
    <col min="6882" max="6882" width="10.42578125" style="7" bestFit="1" customWidth="1"/>
    <col min="6883" max="6883" width="58" style="7" customWidth="1"/>
    <col min="6884" max="7125" width="8.85546875" style="7"/>
    <col min="7126" max="7126" width="4.42578125" style="7" customWidth="1"/>
    <col min="7127" max="7127" width="13.7109375" style="7" customWidth="1"/>
    <col min="7128" max="7128" width="42.5703125" style="7" customWidth="1"/>
    <col min="7129" max="7129" width="5.85546875" style="7" bestFit="1" customWidth="1"/>
    <col min="7130" max="7130" width="16" style="7" bestFit="1" customWidth="1"/>
    <col min="7131" max="7131" width="17.140625" style="7" bestFit="1" customWidth="1"/>
    <col min="7132" max="7132" width="2.7109375" style="7" customWidth="1"/>
    <col min="7133" max="7133" width="3.140625" style="7" customWidth="1"/>
    <col min="7134" max="7134" width="9.7109375" style="7" customWidth="1"/>
    <col min="7135" max="7135" width="16.28515625" style="7" bestFit="1" customWidth="1"/>
    <col min="7136" max="7136" width="14.140625" style="7" customWidth="1"/>
    <col min="7137" max="7137" width="15.28515625" style="7" bestFit="1" customWidth="1"/>
    <col min="7138" max="7138" width="10.42578125" style="7" bestFit="1" customWidth="1"/>
    <col min="7139" max="7139" width="58" style="7" customWidth="1"/>
    <col min="7140" max="7381" width="8.85546875" style="7"/>
    <col min="7382" max="7382" width="4.42578125" style="7" customWidth="1"/>
    <col min="7383" max="7383" width="13.7109375" style="7" customWidth="1"/>
    <col min="7384" max="7384" width="42.5703125" style="7" customWidth="1"/>
    <col min="7385" max="7385" width="5.85546875" style="7" bestFit="1" customWidth="1"/>
    <col min="7386" max="7386" width="16" style="7" bestFit="1" customWidth="1"/>
    <col min="7387" max="7387" width="17.140625" style="7" bestFit="1" customWidth="1"/>
    <col min="7388" max="7388" width="2.7109375" style="7" customWidth="1"/>
    <col min="7389" max="7389" width="3.140625" style="7" customWidth="1"/>
    <col min="7390" max="7390" width="9.7109375" style="7" customWidth="1"/>
    <col min="7391" max="7391" width="16.28515625" style="7" bestFit="1" customWidth="1"/>
    <col min="7392" max="7392" width="14.140625" style="7" customWidth="1"/>
    <col min="7393" max="7393" width="15.28515625" style="7" bestFit="1" customWidth="1"/>
    <col min="7394" max="7394" width="10.42578125" style="7" bestFit="1" customWidth="1"/>
    <col min="7395" max="7395" width="58" style="7" customWidth="1"/>
    <col min="7396" max="7637" width="8.85546875" style="7"/>
    <col min="7638" max="7638" width="4.42578125" style="7" customWidth="1"/>
    <col min="7639" max="7639" width="13.7109375" style="7" customWidth="1"/>
    <col min="7640" max="7640" width="42.5703125" style="7" customWidth="1"/>
    <col min="7641" max="7641" width="5.85546875" style="7" bestFit="1" customWidth="1"/>
    <col min="7642" max="7642" width="16" style="7" bestFit="1" customWidth="1"/>
    <col min="7643" max="7643" width="17.140625" style="7" bestFit="1" customWidth="1"/>
    <col min="7644" max="7644" width="2.7109375" style="7" customWidth="1"/>
    <col min="7645" max="7645" width="3.140625" style="7" customWidth="1"/>
    <col min="7646" max="7646" width="9.7109375" style="7" customWidth="1"/>
    <col min="7647" max="7647" width="16.28515625" style="7" bestFit="1" customWidth="1"/>
    <col min="7648" max="7648" width="14.140625" style="7" customWidth="1"/>
    <col min="7649" max="7649" width="15.28515625" style="7" bestFit="1" customWidth="1"/>
    <col min="7650" max="7650" width="10.42578125" style="7" bestFit="1" customWidth="1"/>
    <col min="7651" max="7651" width="58" style="7" customWidth="1"/>
    <col min="7652" max="7893" width="8.85546875" style="7"/>
    <col min="7894" max="7894" width="4.42578125" style="7" customWidth="1"/>
    <col min="7895" max="7895" width="13.7109375" style="7" customWidth="1"/>
    <col min="7896" max="7896" width="42.5703125" style="7" customWidth="1"/>
    <col min="7897" max="7897" width="5.85546875" style="7" bestFit="1" customWidth="1"/>
    <col min="7898" max="7898" width="16" style="7" bestFit="1" customWidth="1"/>
    <col min="7899" max="7899" width="17.140625" style="7" bestFit="1" customWidth="1"/>
    <col min="7900" max="7900" width="2.7109375" style="7" customWidth="1"/>
    <col min="7901" max="7901" width="3.140625" style="7" customWidth="1"/>
    <col min="7902" max="7902" width="9.7109375" style="7" customWidth="1"/>
    <col min="7903" max="7903" width="16.28515625" style="7" bestFit="1" customWidth="1"/>
    <col min="7904" max="7904" width="14.140625" style="7" customWidth="1"/>
    <col min="7905" max="7905" width="15.28515625" style="7" bestFit="1" customWidth="1"/>
    <col min="7906" max="7906" width="10.42578125" style="7" bestFit="1" customWidth="1"/>
    <col min="7907" max="7907" width="58" style="7" customWidth="1"/>
    <col min="7908" max="8149" width="8.85546875" style="7"/>
    <col min="8150" max="8150" width="4.42578125" style="7" customWidth="1"/>
    <col min="8151" max="8151" width="13.7109375" style="7" customWidth="1"/>
    <col min="8152" max="8152" width="42.5703125" style="7" customWidth="1"/>
    <col min="8153" max="8153" width="5.85546875" style="7" bestFit="1" customWidth="1"/>
    <col min="8154" max="8154" width="16" style="7" bestFit="1" customWidth="1"/>
    <col min="8155" max="8155" width="17.140625" style="7" bestFit="1" customWidth="1"/>
    <col min="8156" max="8156" width="2.7109375" style="7" customWidth="1"/>
    <col min="8157" max="8157" width="3.140625" style="7" customWidth="1"/>
    <col min="8158" max="8158" width="9.7109375" style="7" customWidth="1"/>
    <col min="8159" max="8159" width="16.28515625" style="7" bestFit="1" customWidth="1"/>
    <col min="8160" max="8160" width="14.140625" style="7" customWidth="1"/>
    <col min="8161" max="8161" width="15.28515625" style="7" bestFit="1" customWidth="1"/>
    <col min="8162" max="8162" width="10.42578125" style="7" bestFit="1" customWidth="1"/>
    <col min="8163" max="8163" width="58" style="7" customWidth="1"/>
    <col min="8164" max="8405" width="8.85546875" style="7"/>
    <col min="8406" max="8406" width="4.42578125" style="7" customWidth="1"/>
    <col min="8407" max="8407" width="13.7109375" style="7" customWidth="1"/>
    <col min="8408" max="8408" width="42.5703125" style="7" customWidth="1"/>
    <col min="8409" max="8409" width="5.85546875" style="7" bestFit="1" customWidth="1"/>
    <col min="8410" max="8410" width="16" style="7" bestFit="1" customWidth="1"/>
    <col min="8411" max="8411" width="17.140625" style="7" bestFit="1" customWidth="1"/>
    <col min="8412" max="8412" width="2.7109375" style="7" customWidth="1"/>
    <col min="8413" max="8413" width="3.140625" style="7" customWidth="1"/>
    <col min="8414" max="8414" width="9.7109375" style="7" customWidth="1"/>
    <col min="8415" max="8415" width="16.28515625" style="7" bestFit="1" customWidth="1"/>
    <col min="8416" max="8416" width="14.140625" style="7" customWidth="1"/>
    <col min="8417" max="8417" width="15.28515625" style="7" bestFit="1" customWidth="1"/>
    <col min="8418" max="8418" width="10.42578125" style="7" bestFit="1" customWidth="1"/>
    <col min="8419" max="8419" width="58" style="7" customWidth="1"/>
    <col min="8420" max="8661" width="8.85546875" style="7"/>
    <col min="8662" max="8662" width="4.42578125" style="7" customWidth="1"/>
    <col min="8663" max="8663" width="13.7109375" style="7" customWidth="1"/>
    <col min="8664" max="8664" width="42.5703125" style="7" customWidth="1"/>
    <col min="8665" max="8665" width="5.85546875" style="7" bestFit="1" customWidth="1"/>
    <col min="8666" max="8666" width="16" style="7" bestFit="1" customWidth="1"/>
    <col min="8667" max="8667" width="17.140625" style="7" bestFit="1" customWidth="1"/>
    <col min="8668" max="8668" width="2.7109375" style="7" customWidth="1"/>
    <col min="8669" max="8669" width="3.140625" style="7" customWidth="1"/>
    <col min="8670" max="8670" width="9.7109375" style="7" customWidth="1"/>
    <col min="8671" max="8671" width="16.28515625" style="7" bestFit="1" customWidth="1"/>
    <col min="8672" max="8672" width="14.140625" style="7" customWidth="1"/>
    <col min="8673" max="8673" width="15.28515625" style="7" bestFit="1" customWidth="1"/>
    <col min="8674" max="8674" width="10.42578125" style="7" bestFit="1" customWidth="1"/>
    <col min="8675" max="8675" width="58" style="7" customWidth="1"/>
    <col min="8676" max="8917" width="8.85546875" style="7"/>
    <col min="8918" max="8918" width="4.42578125" style="7" customWidth="1"/>
    <col min="8919" max="8919" width="13.7109375" style="7" customWidth="1"/>
    <col min="8920" max="8920" width="42.5703125" style="7" customWidth="1"/>
    <col min="8921" max="8921" width="5.85546875" style="7" bestFit="1" customWidth="1"/>
    <col min="8922" max="8922" width="16" style="7" bestFit="1" customWidth="1"/>
    <col min="8923" max="8923" width="17.140625" style="7" bestFit="1" customWidth="1"/>
    <col min="8924" max="8924" width="2.7109375" style="7" customWidth="1"/>
    <col min="8925" max="8925" width="3.140625" style="7" customWidth="1"/>
    <col min="8926" max="8926" width="9.7109375" style="7" customWidth="1"/>
    <col min="8927" max="8927" width="16.28515625" style="7" bestFit="1" customWidth="1"/>
    <col min="8928" max="8928" width="14.140625" style="7" customWidth="1"/>
    <col min="8929" max="8929" width="15.28515625" style="7" bestFit="1" customWidth="1"/>
    <col min="8930" max="8930" width="10.42578125" style="7" bestFit="1" customWidth="1"/>
    <col min="8931" max="8931" width="58" style="7" customWidth="1"/>
    <col min="8932" max="9173" width="8.85546875" style="7"/>
    <col min="9174" max="9174" width="4.42578125" style="7" customWidth="1"/>
    <col min="9175" max="9175" width="13.7109375" style="7" customWidth="1"/>
    <col min="9176" max="9176" width="42.5703125" style="7" customWidth="1"/>
    <col min="9177" max="9177" width="5.85546875" style="7" bestFit="1" customWidth="1"/>
    <col min="9178" max="9178" width="16" style="7" bestFit="1" customWidth="1"/>
    <col min="9179" max="9179" width="17.140625" style="7" bestFit="1" customWidth="1"/>
    <col min="9180" max="9180" width="2.7109375" style="7" customWidth="1"/>
    <col min="9181" max="9181" width="3.140625" style="7" customWidth="1"/>
    <col min="9182" max="9182" width="9.7109375" style="7" customWidth="1"/>
    <col min="9183" max="9183" width="16.28515625" style="7" bestFit="1" customWidth="1"/>
    <col min="9184" max="9184" width="14.140625" style="7" customWidth="1"/>
    <col min="9185" max="9185" width="15.28515625" style="7" bestFit="1" customWidth="1"/>
    <col min="9186" max="9186" width="10.42578125" style="7" bestFit="1" customWidth="1"/>
    <col min="9187" max="9187" width="58" style="7" customWidth="1"/>
    <col min="9188" max="9429" width="8.85546875" style="7"/>
    <col min="9430" max="9430" width="4.42578125" style="7" customWidth="1"/>
    <col min="9431" max="9431" width="13.7109375" style="7" customWidth="1"/>
    <col min="9432" max="9432" width="42.5703125" style="7" customWidth="1"/>
    <col min="9433" max="9433" width="5.85546875" style="7" bestFit="1" customWidth="1"/>
    <col min="9434" max="9434" width="16" style="7" bestFit="1" customWidth="1"/>
    <col min="9435" max="9435" width="17.140625" style="7" bestFit="1" customWidth="1"/>
    <col min="9436" max="9436" width="2.7109375" style="7" customWidth="1"/>
    <col min="9437" max="9437" width="3.140625" style="7" customWidth="1"/>
    <col min="9438" max="9438" width="9.7109375" style="7" customWidth="1"/>
    <col min="9439" max="9439" width="16.28515625" style="7" bestFit="1" customWidth="1"/>
    <col min="9440" max="9440" width="14.140625" style="7" customWidth="1"/>
    <col min="9441" max="9441" width="15.28515625" style="7" bestFit="1" customWidth="1"/>
    <col min="9442" max="9442" width="10.42578125" style="7" bestFit="1" customWidth="1"/>
    <col min="9443" max="9443" width="58" style="7" customWidth="1"/>
    <col min="9444" max="9685" width="8.85546875" style="7"/>
    <col min="9686" max="9686" width="4.42578125" style="7" customWidth="1"/>
    <col min="9687" max="9687" width="13.7109375" style="7" customWidth="1"/>
    <col min="9688" max="9688" width="42.5703125" style="7" customWidth="1"/>
    <col min="9689" max="9689" width="5.85546875" style="7" bestFit="1" customWidth="1"/>
    <col min="9690" max="9690" width="16" style="7" bestFit="1" customWidth="1"/>
    <col min="9691" max="9691" width="17.140625" style="7" bestFit="1" customWidth="1"/>
    <col min="9692" max="9692" width="2.7109375" style="7" customWidth="1"/>
    <col min="9693" max="9693" width="3.140625" style="7" customWidth="1"/>
    <col min="9694" max="9694" width="9.7109375" style="7" customWidth="1"/>
    <col min="9695" max="9695" width="16.28515625" style="7" bestFit="1" customWidth="1"/>
    <col min="9696" max="9696" width="14.140625" style="7" customWidth="1"/>
    <col min="9697" max="9697" width="15.28515625" style="7" bestFit="1" customWidth="1"/>
    <col min="9698" max="9698" width="10.42578125" style="7" bestFit="1" customWidth="1"/>
    <col min="9699" max="9699" width="58" style="7" customWidth="1"/>
    <col min="9700" max="9941" width="8.85546875" style="7"/>
    <col min="9942" max="9942" width="4.42578125" style="7" customWidth="1"/>
    <col min="9943" max="9943" width="13.7109375" style="7" customWidth="1"/>
    <col min="9944" max="9944" width="42.5703125" style="7" customWidth="1"/>
    <col min="9945" max="9945" width="5.85546875" style="7" bestFit="1" customWidth="1"/>
    <col min="9946" max="9946" width="16" style="7" bestFit="1" customWidth="1"/>
    <col min="9947" max="9947" width="17.140625" style="7" bestFit="1" customWidth="1"/>
    <col min="9948" max="9948" width="2.7109375" style="7" customWidth="1"/>
    <col min="9949" max="9949" width="3.140625" style="7" customWidth="1"/>
    <col min="9950" max="9950" width="9.7109375" style="7" customWidth="1"/>
    <col min="9951" max="9951" width="16.28515625" style="7" bestFit="1" customWidth="1"/>
    <col min="9952" max="9952" width="14.140625" style="7" customWidth="1"/>
    <col min="9953" max="9953" width="15.28515625" style="7" bestFit="1" customWidth="1"/>
    <col min="9954" max="9954" width="10.42578125" style="7" bestFit="1" customWidth="1"/>
    <col min="9955" max="9955" width="58" style="7" customWidth="1"/>
    <col min="9956" max="10197" width="8.85546875" style="7"/>
    <col min="10198" max="10198" width="4.42578125" style="7" customWidth="1"/>
    <col min="10199" max="10199" width="13.7109375" style="7" customWidth="1"/>
    <col min="10200" max="10200" width="42.5703125" style="7" customWidth="1"/>
    <col min="10201" max="10201" width="5.85546875" style="7" bestFit="1" customWidth="1"/>
    <col min="10202" max="10202" width="16" style="7" bestFit="1" customWidth="1"/>
    <col min="10203" max="10203" width="17.140625" style="7" bestFit="1" customWidth="1"/>
    <col min="10204" max="10204" width="2.7109375" style="7" customWidth="1"/>
    <col min="10205" max="10205" width="3.140625" style="7" customWidth="1"/>
    <col min="10206" max="10206" width="9.7109375" style="7" customWidth="1"/>
    <col min="10207" max="10207" width="16.28515625" style="7" bestFit="1" customWidth="1"/>
    <col min="10208" max="10208" width="14.140625" style="7" customWidth="1"/>
    <col min="10209" max="10209" width="15.28515625" style="7" bestFit="1" customWidth="1"/>
    <col min="10210" max="10210" width="10.42578125" style="7" bestFit="1" customWidth="1"/>
    <col min="10211" max="10211" width="58" style="7" customWidth="1"/>
    <col min="10212" max="10453" width="8.85546875" style="7"/>
    <col min="10454" max="10454" width="4.42578125" style="7" customWidth="1"/>
    <col min="10455" max="10455" width="13.7109375" style="7" customWidth="1"/>
    <col min="10456" max="10456" width="42.5703125" style="7" customWidth="1"/>
    <col min="10457" max="10457" width="5.85546875" style="7" bestFit="1" customWidth="1"/>
    <col min="10458" max="10458" width="16" style="7" bestFit="1" customWidth="1"/>
    <col min="10459" max="10459" width="17.140625" style="7" bestFit="1" customWidth="1"/>
    <col min="10460" max="10460" width="2.7109375" style="7" customWidth="1"/>
    <col min="10461" max="10461" width="3.140625" style="7" customWidth="1"/>
    <col min="10462" max="10462" width="9.7109375" style="7" customWidth="1"/>
    <col min="10463" max="10463" width="16.28515625" style="7" bestFit="1" customWidth="1"/>
    <col min="10464" max="10464" width="14.140625" style="7" customWidth="1"/>
    <col min="10465" max="10465" width="15.28515625" style="7" bestFit="1" customWidth="1"/>
    <col min="10466" max="10466" width="10.42578125" style="7" bestFit="1" customWidth="1"/>
    <col min="10467" max="10467" width="58" style="7" customWidth="1"/>
    <col min="10468" max="10709" width="8.85546875" style="7"/>
    <col min="10710" max="10710" width="4.42578125" style="7" customWidth="1"/>
    <col min="10711" max="10711" width="13.7109375" style="7" customWidth="1"/>
    <col min="10712" max="10712" width="42.5703125" style="7" customWidth="1"/>
    <col min="10713" max="10713" width="5.85546875" style="7" bestFit="1" customWidth="1"/>
    <col min="10714" max="10714" width="16" style="7" bestFit="1" customWidth="1"/>
    <col min="10715" max="10715" width="17.140625" style="7" bestFit="1" customWidth="1"/>
    <col min="10716" max="10716" width="2.7109375" style="7" customWidth="1"/>
    <col min="10717" max="10717" width="3.140625" style="7" customWidth="1"/>
    <col min="10718" max="10718" width="9.7109375" style="7" customWidth="1"/>
    <col min="10719" max="10719" width="16.28515625" style="7" bestFit="1" customWidth="1"/>
    <col min="10720" max="10720" width="14.140625" style="7" customWidth="1"/>
    <col min="10721" max="10721" width="15.28515625" style="7" bestFit="1" customWidth="1"/>
    <col min="10722" max="10722" width="10.42578125" style="7" bestFit="1" customWidth="1"/>
    <col min="10723" max="10723" width="58" style="7" customWidth="1"/>
    <col min="10724" max="10965" width="8.85546875" style="7"/>
    <col min="10966" max="10966" width="4.42578125" style="7" customWidth="1"/>
    <col min="10967" max="10967" width="13.7109375" style="7" customWidth="1"/>
    <col min="10968" max="10968" width="42.5703125" style="7" customWidth="1"/>
    <col min="10969" max="10969" width="5.85546875" style="7" bestFit="1" customWidth="1"/>
    <col min="10970" max="10970" width="16" style="7" bestFit="1" customWidth="1"/>
    <col min="10971" max="10971" width="17.140625" style="7" bestFit="1" customWidth="1"/>
    <col min="10972" max="10972" width="2.7109375" style="7" customWidth="1"/>
    <col min="10973" max="10973" width="3.140625" style="7" customWidth="1"/>
    <col min="10974" max="10974" width="9.7109375" style="7" customWidth="1"/>
    <col min="10975" max="10975" width="16.28515625" style="7" bestFit="1" customWidth="1"/>
    <col min="10976" max="10976" width="14.140625" style="7" customWidth="1"/>
    <col min="10977" max="10977" width="15.28515625" style="7" bestFit="1" customWidth="1"/>
    <col min="10978" max="10978" width="10.42578125" style="7" bestFit="1" customWidth="1"/>
    <col min="10979" max="10979" width="58" style="7" customWidth="1"/>
    <col min="10980" max="11221" width="8.85546875" style="7"/>
    <col min="11222" max="11222" width="4.42578125" style="7" customWidth="1"/>
    <col min="11223" max="11223" width="13.7109375" style="7" customWidth="1"/>
    <col min="11224" max="11224" width="42.5703125" style="7" customWidth="1"/>
    <col min="11225" max="11225" width="5.85546875" style="7" bestFit="1" customWidth="1"/>
    <col min="11226" max="11226" width="16" style="7" bestFit="1" customWidth="1"/>
    <col min="11227" max="11227" width="17.140625" style="7" bestFit="1" customWidth="1"/>
    <col min="11228" max="11228" width="2.7109375" style="7" customWidth="1"/>
    <col min="11229" max="11229" width="3.140625" style="7" customWidth="1"/>
    <col min="11230" max="11230" width="9.7109375" style="7" customWidth="1"/>
    <col min="11231" max="11231" width="16.28515625" style="7" bestFit="1" customWidth="1"/>
    <col min="11232" max="11232" width="14.140625" style="7" customWidth="1"/>
    <col min="11233" max="11233" width="15.28515625" style="7" bestFit="1" customWidth="1"/>
    <col min="11234" max="11234" width="10.42578125" style="7" bestFit="1" customWidth="1"/>
    <col min="11235" max="11235" width="58" style="7" customWidth="1"/>
    <col min="11236" max="11477" width="8.85546875" style="7"/>
    <col min="11478" max="11478" width="4.42578125" style="7" customWidth="1"/>
    <col min="11479" max="11479" width="13.7109375" style="7" customWidth="1"/>
    <col min="11480" max="11480" width="42.5703125" style="7" customWidth="1"/>
    <col min="11481" max="11481" width="5.85546875" style="7" bestFit="1" customWidth="1"/>
    <col min="11482" max="11482" width="16" style="7" bestFit="1" customWidth="1"/>
    <col min="11483" max="11483" width="17.140625" style="7" bestFit="1" customWidth="1"/>
    <col min="11484" max="11484" width="2.7109375" style="7" customWidth="1"/>
    <col min="11485" max="11485" width="3.140625" style="7" customWidth="1"/>
    <col min="11486" max="11486" width="9.7109375" style="7" customWidth="1"/>
    <col min="11487" max="11487" width="16.28515625" style="7" bestFit="1" customWidth="1"/>
    <col min="11488" max="11488" width="14.140625" style="7" customWidth="1"/>
    <col min="11489" max="11489" width="15.28515625" style="7" bestFit="1" customWidth="1"/>
    <col min="11490" max="11490" width="10.42578125" style="7" bestFit="1" customWidth="1"/>
    <col min="11491" max="11491" width="58" style="7" customWidth="1"/>
    <col min="11492" max="11733" width="8.85546875" style="7"/>
    <col min="11734" max="11734" width="4.42578125" style="7" customWidth="1"/>
    <col min="11735" max="11735" width="13.7109375" style="7" customWidth="1"/>
    <col min="11736" max="11736" width="42.5703125" style="7" customWidth="1"/>
    <col min="11737" max="11737" width="5.85546875" style="7" bestFit="1" customWidth="1"/>
    <col min="11738" max="11738" width="16" style="7" bestFit="1" customWidth="1"/>
    <col min="11739" max="11739" width="17.140625" style="7" bestFit="1" customWidth="1"/>
    <col min="11740" max="11740" width="2.7109375" style="7" customWidth="1"/>
    <col min="11741" max="11741" width="3.140625" style="7" customWidth="1"/>
    <col min="11742" max="11742" width="9.7109375" style="7" customWidth="1"/>
    <col min="11743" max="11743" width="16.28515625" style="7" bestFit="1" customWidth="1"/>
    <col min="11744" max="11744" width="14.140625" style="7" customWidth="1"/>
    <col min="11745" max="11745" width="15.28515625" style="7" bestFit="1" customWidth="1"/>
    <col min="11746" max="11746" width="10.42578125" style="7" bestFit="1" customWidth="1"/>
    <col min="11747" max="11747" width="58" style="7" customWidth="1"/>
    <col min="11748" max="11989" width="8.85546875" style="7"/>
    <col min="11990" max="11990" width="4.42578125" style="7" customWidth="1"/>
    <col min="11991" max="11991" width="13.7109375" style="7" customWidth="1"/>
    <col min="11992" max="11992" width="42.5703125" style="7" customWidth="1"/>
    <col min="11993" max="11993" width="5.85546875" style="7" bestFit="1" customWidth="1"/>
    <col min="11994" max="11994" width="16" style="7" bestFit="1" customWidth="1"/>
    <col min="11995" max="11995" width="17.140625" style="7" bestFit="1" customWidth="1"/>
    <col min="11996" max="11996" width="2.7109375" style="7" customWidth="1"/>
    <col min="11997" max="11997" width="3.140625" style="7" customWidth="1"/>
    <col min="11998" max="11998" width="9.7109375" style="7" customWidth="1"/>
    <col min="11999" max="11999" width="16.28515625" style="7" bestFit="1" customWidth="1"/>
    <col min="12000" max="12000" width="14.140625" style="7" customWidth="1"/>
    <col min="12001" max="12001" width="15.28515625" style="7" bestFit="1" customWidth="1"/>
    <col min="12002" max="12002" width="10.42578125" style="7" bestFit="1" customWidth="1"/>
    <col min="12003" max="12003" width="58" style="7" customWidth="1"/>
    <col min="12004" max="12245" width="8.85546875" style="7"/>
    <col min="12246" max="12246" width="4.42578125" style="7" customWidth="1"/>
    <col min="12247" max="12247" width="13.7109375" style="7" customWidth="1"/>
    <col min="12248" max="12248" width="42.5703125" style="7" customWidth="1"/>
    <col min="12249" max="12249" width="5.85546875" style="7" bestFit="1" customWidth="1"/>
    <col min="12250" max="12250" width="16" style="7" bestFit="1" customWidth="1"/>
    <col min="12251" max="12251" width="17.140625" style="7" bestFit="1" customWidth="1"/>
    <col min="12252" max="12252" width="2.7109375" style="7" customWidth="1"/>
    <col min="12253" max="12253" width="3.140625" style="7" customWidth="1"/>
    <col min="12254" max="12254" width="9.7109375" style="7" customWidth="1"/>
    <col min="12255" max="12255" width="16.28515625" style="7" bestFit="1" customWidth="1"/>
    <col min="12256" max="12256" width="14.140625" style="7" customWidth="1"/>
    <col min="12257" max="12257" width="15.28515625" style="7" bestFit="1" customWidth="1"/>
    <col min="12258" max="12258" width="10.42578125" style="7" bestFit="1" customWidth="1"/>
    <col min="12259" max="12259" width="58" style="7" customWidth="1"/>
    <col min="12260" max="12501" width="8.85546875" style="7"/>
    <col min="12502" max="12502" width="4.42578125" style="7" customWidth="1"/>
    <col min="12503" max="12503" width="13.7109375" style="7" customWidth="1"/>
    <col min="12504" max="12504" width="42.5703125" style="7" customWidth="1"/>
    <col min="12505" max="12505" width="5.85546875" style="7" bestFit="1" customWidth="1"/>
    <col min="12506" max="12506" width="16" style="7" bestFit="1" customWidth="1"/>
    <col min="12507" max="12507" width="17.140625" style="7" bestFit="1" customWidth="1"/>
    <col min="12508" max="12508" width="2.7109375" style="7" customWidth="1"/>
    <col min="12509" max="12509" width="3.140625" style="7" customWidth="1"/>
    <col min="12510" max="12510" width="9.7109375" style="7" customWidth="1"/>
    <col min="12511" max="12511" width="16.28515625" style="7" bestFit="1" customWidth="1"/>
    <col min="12512" max="12512" width="14.140625" style="7" customWidth="1"/>
    <col min="12513" max="12513" width="15.28515625" style="7" bestFit="1" customWidth="1"/>
    <col min="12514" max="12514" width="10.42578125" style="7" bestFit="1" customWidth="1"/>
    <col min="12515" max="12515" width="58" style="7" customWidth="1"/>
    <col min="12516" max="12757" width="8.85546875" style="7"/>
    <col min="12758" max="12758" width="4.42578125" style="7" customWidth="1"/>
    <col min="12759" max="12759" width="13.7109375" style="7" customWidth="1"/>
    <col min="12760" max="12760" width="42.5703125" style="7" customWidth="1"/>
    <col min="12761" max="12761" width="5.85546875" style="7" bestFit="1" customWidth="1"/>
    <col min="12762" max="12762" width="16" style="7" bestFit="1" customWidth="1"/>
    <col min="12763" max="12763" width="17.140625" style="7" bestFit="1" customWidth="1"/>
    <col min="12764" max="12764" width="2.7109375" style="7" customWidth="1"/>
    <col min="12765" max="12765" width="3.140625" style="7" customWidth="1"/>
    <col min="12766" max="12766" width="9.7109375" style="7" customWidth="1"/>
    <col min="12767" max="12767" width="16.28515625" style="7" bestFit="1" customWidth="1"/>
    <col min="12768" max="12768" width="14.140625" style="7" customWidth="1"/>
    <col min="12769" max="12769" width="15.28515625" style="7" bestFit="1" customWidth="1"/>
    <col min="12770" max="12770" width="10.42578125" style="7" bestFit="1" customWidth="1"/>
    <col min="12771" max="12771" width="58" style="7" customWidth="1"/>
    <col min="12772" max="13013" width="8.85546875" style="7"/>
    <col min="13014" max="13014" width="4.42578125" style="7" customWidth="1"/>
    <col min="13015" max="13015" width="13.7109375" style="7" customWidth="1"/>
    <col min="13016" max="13016" width="42.5703125" style="7" customWidth="1"/>
    <col min="13017" max="13017" width="5.85546875" style="7" bestFit="1" customWidth="1"/>
    <col min="13018" max="13018" width="16" style="7" bestFit="1" customWidth="1"/>
    <col min="13019" max="13019" width="17.140625" style="7" bestFit="1" customWidth="1"/>
    <col min="13020" max="13020" width="2.7109375" style="7" customWidth="1"/>
    <col min="13021" max="13021" width="3.140625" style="7" customWidth="1"/>
    <col min="13022" max="13022" width="9.7109375" style="7" customWidth="1"/>
    <col min="13023" max="13023" width="16.28515625" style="7" bestFit="1" customWidth="1"/>
    <col min="13024" max="13024" width="14.140625" style="7" customWidth="1"/>
    <col min="13025" max="13025" width="15.28515625" style="7" bestFit="1" customWidth="1"/>
    <col min="13026" max="13026" width="10.42578125" style="7" bestFit="1" customWidth="1"/>
    <col min="13027" max="13027" width="58" style="7" customWidth="1"/>
    <col min="13028" max="13269" width="8.85546875" style="7"/>
    <col min="13270" max="13270" width="4.42578125" style="7" customWidth="1"/>
    <col min="13271" max="13271" width="13.7109375" style="7" customWidth="1"/>
    <col min="13272" max="13272" width="42.5703125" style="7" customWidth="1"/>
    <col min="13273" max="13273" width="5.85546875" style="7" bestFit="1" customWidth="1"/>
    <col min="13274" max="13274" width="16" style="7" bestFit="1" customWidth="1"/>
    <col min="13275" max="13275" width="17.140625" style="7" bestFit="1" customWidth="1"/>
    <col min="13276" max="13276" width="2.7109375" style="7" customWidth="1"/>
    <col min="13277" max="13277" width="3.140625" style="7" customWidth="1"/>
    <col min="13278" max="13278" width="9.7109375" style="7" customWidth="1"/>
    <col min="13279" max="13279" width="16.28515625" style="7" bestFit="1" customWidth="1"/>
    <col min="13280" max="13280" width="14.140625" style="7" customWidth="1"/>
    <col min="13281" max="13281" width="15.28515625" style="7" bestFit="1" customWidth="1"/>
    <col min="13282" max="13282" width="10.42578125" style="7" bestFit="1" customWidth="1"/>
    <col min="13283" max="13283" width="58" style="7" customWidth="1"/>
    <col min="13284" max="13525" width="8.85546875" style="7"/>
    <col min="13526" max="13526" width="4.42578125" style="7" customWidth="1"/>
    <col min="13527" max="13527" width="13.7109375" style="7" customWidth="1"/>
    <col min="13528" max="13528" width="42.5703125" style="7" customWidth="1"/>
    <col min="13529" max="13529" width="5.85546875" style="7" bestFit="1" customWidth="1"/>
    <col min="13530" max="13530" width="16" style="7" bestFit="1" customWidth="1"/>
    <col min="13531" max="13531" width="17.140625" style="7" bestFit="1" customWidth="1"/>
    <col min="13532" max="13532" width="2.7109375" style="7" customWidth="1"/>
    <col min="13533" max="13533" width="3.140625" style="7" customWidth="1"/>
    <col min="13534" max="13534" width="9.7109375" style="7" customWidth="1"/>
    <col min="13535" max="13535" width="16.28515625" style="7" bestFit="1" customWidth="1"/>
    <col min="13536" max="13536" width="14.140625" style="7" customWidth="1"/>
    <col min="13537" max="13537" width="15.28515625" style="7" bestFit="1" customWidth="1"/>
    <col min="13538" max="13538" width="10.42578125" style="7" bestFit="1" customWidth="1"/>
    <col min="13539" max="13539" width="58" style="7" customWidth="1"/>
    <col min="13540" max="13781" width="8.85546875" style="7"/>
    <col min="13782" max="13782" width="4.42578125" style="7" customWidth="1"/>
    <col min="13783" max="13783" width="13.7109375" style="7" customWidth="1"/>
    <col min="13784" max="13784" width="42.5703125" style="7" customWidth="1"/>
    <col min="13785" max="13785" width="5.85546875" style="7" bestFit="1" customWidth="1"/>
    <col min="13786" max="13786" width="16" style="7" bestFit="1" customWidth="1"/>
    <col min="13787" max="13787" width="17.140625" style="7" bestFit="1" customWidth="1"/>
    <col min="13788" max="13788" width="2.7109375" style="7" customWidth="1"/>
    <col min="13789" max="13789" width="3.140625" style="7" customWidth="1"/>
    <col min="13790" max="13790" width="9.7109375" style="7" customWidth="1"/>
    <col min="13791" max="13791" width="16.28515625" style="7" bestFit="1" customWidth="1"/>
    <col min="13792" max="13792" width="14.140625" style="7" customWidth="1"/>
    <col min="13793" max="13793" width="15.28515625" style="7" bestFit="1" customWidth="1"/>
    <col min="13794" max="13794" width="10.42578125" style="7" bestFit="1" customWidth="1"/>
    <col min="13795" max="13795" width="58" style="7" customWidth="1"/>
    <col min="13796" max="14037" width="8.85546875" style="7"/>
    <col min="14038" max="14038" width="4.42578125" style="7" customWidth="1"/>
    <col min="14039" max="14039" width="13.7109375" style="7" customWidth="1"/>
    <col min="14040" max="14040" width="42.5703125" style="7" customWidth="1"/>
    <col min="14041" max="14041" width="5.85546875" style="7" bestFit="1" customWidth="1"/>
    <col min="14042" max="14042" width="16" style="7" bestFit="1" customWidth="1"/>
    <col min="14043" max="14043" width="17.140625" style="7" bestFit="1" customWidth="1"/>
    <col min="14044" max="14044" width="2.7109375" style="7" customWidth="1"/>
    <col min="14045" max="14045" width="3.140625" style="7" customWidth="1"/>
    <col min="14046" max="14046" width="9.7109375" style="7" customWidth="1"/>
    <col min="14047" max="14047" width="16.28515625" style="7" bestFit="1" customWidth="1"/>
    <col min="14048" max="14048" width="14.140625" style="7" customWidth="1"/>
    <col min="14049" max="14049" width="15.28515625" style="7" bestFit="1" customWidth="1"/>
    <col min="14050" max="14050" width="10.42578125" style="7" bestFit="1" customWidth="1"/>
    <col min="14051" max="14051" width="58" style="7" customWidth="1"/>
    <col min="14052" max="14293" width="8.85546875" style="7"/>
    <col min="14294" max="14294" width="4.42578125" style="7" customWidth="1"/>
    <col min="14295" max="14295" width="13.7109375" style="7" customWidth="1"/>
    <col min="14296" max="14296" width="42.5703125" style="7" customWidth="1"/>
    <col min="14297" max="14297" width="5.85546875" style="7" bestFit="1" customWidth="1"/>
    <col min="14298" max="14298" width="16" style="7" bestFit="1" customWidth="1"/>
    <col min="14299" max="14299" width="17.140625" style="7" bestFit="1" customWidth="1"/>
    <col min="14300" max="14300" width="2.7109375" style="7" customWidth="1"/>
    <col min="14301" max="14301" width="3.140625" style="7" customWidth="1"/>
    <col min="14302" max="14302" width="9.7109375" style="7" customWidth="1"/>
    <col min="14303" max="14303" width="16.28515625" style="7" bestFit="1" customWidth="1"/>
    <col min="14304" max="14304" width="14.140625" style="7" customWidth="1"/>
    <col min="14305" max="14305" width="15.28515625" style="7" bestFit="1" customWidth="1"/>
    <col min="14306" max="14306" width="10.42578125" style="7" bestFit="1" customWidth="1"/>
    <col min="14307" max="14307" width="58" style="7" customWidth="1"/>
    <col min="14308" max="14549" width="8.85546875" style="7"/>
    <col min="14550" max="14550" width="4.42578125" style="7" customWidth="1"/>
    <col min="14551" max="14551" width="13.7109375" style="7" customWidth="1"/>
    <col min="14552" max="14552" width="42.5703125" style="7" customWidth="1"/>
    <col min="14553" max="14553" width="5.85546875" style="7" bestFit="1" customWidth="1"/>
    <col min="14554" max="14554" width="16" style="7" bestFit="1" customWidth="1"/>
    <col min="14555" max="14555" width="17.140625" style="7" bestFit="1" customWidth="1"/>
    <col min="14556" max="14556" width="2.7109375" style="7" customWidth="1"/>
    <col min="14557" max="14557" width="3.140625" style="7" customWidth="1"/>
    <col min="14558" max="14558" width="9.7109375" style="7" customWidth="1"/>
    <col min="14559" max="14559" width="16.28515625" style="7" bestFit="1" customWidth="1"/>
    <col min="14560" max="14560" width="14.140625" style="7" customWidth="1"/>
    <col min="14561" max="14561" width="15.28515625" style="7" bestFit="1" customWidth="1"/>
    <col min="14562" max="14562" width="10.42578125" style="7" bestFit="1" customWidth="1"/>
    <col min="14563" max="14563" width="58" style="7" customWidth="1"/>
    <col min="14564" max="14805" width="8.85546875" style="7"/>
    <col min="14806" max="14806" width="4.42578125" style="7" customWidth="1"/>
    <col min="14807" max="14807" width="13.7109375" style="7" customWidth="1"/>
    <col min="14808" max="14808" width="42.5703125" style="7" customWidth="1"/>
    <col min="14809" max="14809" width="5.85546875" style="7" bestFit="1" customWidth="1"/>
    <col min="14810" max="14810" width="16" style="7" bestFit="1" customWidth="1"/>
    <col min="14811" max="14811" width="17.140625" style="7" bestFit="1" customWidth="1"/>
    <col min="14812" max="14812" width="2.7109375" style="7" customWidth="1"/>
    <col min="14813" max="14813" width="3.140625" style="7" customWidth="1"/>
    <col min="14814" max="14814" width="9.7109375" style="7" customWidth="1"/>
    <col min="14815" max="14815" width="16.28515625" style="7" bestFit="1" customWidth="1"/>
    <col min="14816" max="14816" width="14.140625" style="7" customWidth="1"/>
    <col min="14817" max="14817" width="15.28515625" style="7" bestFit="1" customWidth="1"/>
    <col min="14818" max="14818" width="10.42578125" style="7" bestFit="1" customWidth="1"/>
    <col min="14819" max="14819" width="58" style="7" customWidth="1"/>
    <col min="14820" max="15061" width="8.85546875" style="7"/>
    <col min="15062" max="15062" width="4.42578125" style="7" customWidth="1"/>
    <col min="15063" max="15063" width="13.7109375" style="7" customWidth="1"/>
    <col min="15064" max="15064" width="42.5703125" style="7" customWidth="1"/>
    <col min="15065" max="15065" width="5.85546875" style="7" bestFit="1" customWidth="1"/>
    <col min="15066" max="15066" width="16" style="7" bestFit="1" customWidth="1"/>
    <col min="15067" max="15067" width="17.140625" style="7" bestFit="1" customWidth="1"/>
    <col min="15068" max="15068" width="2.7109375" style="7" customWidth="1"/>
    <col min="15069" max="15069" width="3.140625" style="7" customWidth="1"/>
    <col min="15070" max="15070" width="9.7109375" style="7" customWidth="1"/>
    <col min="15071" max="15071" width="16.28515625" style="7" bestFit="1" customWidth="1"/>
    <col min="15072" max="15072" width="14.140625" style="7" customWidth="1"/>
    <col min="15073" max="15073" width="15.28515625" style="7" bestFit="1" customWidth="1"/>
    <col min="15074" max="15074" width="10.42578125" style="7" bestFit="1" customWidth="1"/>
    <col min="15075" max="15075" width="58" style="7" customWidth="1"/>
    <col min="15076" max="15317" width="8.85546875" style="7"/>
    <col min="15318" max="15318" width="4.42578125" style="7" customWidth="1"/>
    <col min="15319" max="15319" width="13.7109375" style="7" customWidth="1"/>
    <col min="15320" max="15320" width="42.5703125" style="7" customWidth="1"/>
    <col min="15321" max="15321" width="5.85546875" style="7" bestFit="1" customWidth="1"/>
    <col min="15322" max="15322" width="16" style="7" bestFit="1" customWidth="1"/>
    <col min="15323" max="15323" width="17.140625" style="7" bestFit="1" customWidth="1"/>
    <col min="15324" max="15324" width="2.7109375" style="7" customWidth="1"/>
    <col min="15325" max="15325" width="3.140625" style="7" customWidth="1"/>
    <col min="15326" max="15326" width="9.7109375" style="7" customWidth="1"/>
    <col min="15327" max="15327" width="16.28515625" style="7" bestFit="1" customWidth="1"/>
    <col min="15328" max="15328" width="14.140625" style="7" customWidth="1"/>
    <col min="15329" max="15329" width="15.28515625" style="7" bestFit="1" customWidth="1"/>
    <col min="15330" max="15330" width="10.42578125" style="7" bestFit="1" customWidth="1"/>
    <col min="15331" max="15331" width="58" style="7" customWidth="1"/>
    <col min="15332" max="15573" width="8.85546875" style="7"/>
    <col min="15574" max="15574" width="4.42578125" style="7" customWidth="1"/>
    <col min="15575" max="15575" width="13.7109375" style="7" customWidth="1"/>
    <col min="15576" max="15576" width="42.5703125" style="7" customWidth="1"/>
    <col min="15577" max="15577" width="5.85546875" style="7" bestFit="1" customWidth="1"/>
    <col min="15578" max="15578" width="16" style="7" bestFit="1" customWidth="1"/>
    <col min="15579" max="15579" width="17.140625" style="7" bestFit="1" customWidth="1"/>
    <col min="15580" max="15580" width="2.7109375" style="7" customWidth="1"/>
    <col min="15581" max="15581" width="3.140625" style="7" customWidth="1"/>
    <col min="15582" max="15582" width="9.7109375" style="7" customWidth="1"/>
    <col min="15583" max="15583" width="16.28515625" style="7" bestFit="1" customWidth="1"/>
    <col min="15584" max="15584" width="14.140625" style="7" customWidth="1"/>
    <col min="15585" max="15585" width="15.28515625" style="7" bestFit="1" customWidth="1"/>
    <col min="15586" max="15586" width="10.42578125" style="7" bestFit="1" customWidth="1"/>
    <col min="15587" max="15587" width="58" style="7" customWidth="1"/>
    <col min="15588" max="15829" width="8.85546875" style="7"/>
    <col min="15830" max="15830" width="4.42578125" style="7" customWidth="1"/>
    <col min="15831" max="15831" width="13.7109375" style="7" customWidth="1"/>
    <col min="15832" max="15832" width="42.5703125" style="7" customWidth="1"/>
    <col min="15833" max="15833" width="5.85546875" style="7" bestFit="1" customWidth="1"/>
    <col min="15834" max="15834" width="16" style="7" bestFit="1" customWidth="1"/>
    <col min="15835" max="15835" width="17.140625" style="7" bestFit="1" customWidth="1"/>
    <col min="15836" max="15836" width="2.7109375" style="7" customWidth="1"/>
    <col min="15837" max="15837" width="3.140625" style="7" customWidth="1"/>
    <col min="15838" max="15838" width="9.7109375" style="7" customWidth="1"/>
    <col min="15839" max="15839" width="16.28515625" style="7" bestFit="1" customWidth="1"/>
    <col min="15840" max="15840" width="14.140625" style="7" customWidth="1"/>
    <col min="15841" max="15841" width="15.28515625" style="7" bestFit="1" customWidth="1"/>
    <col min="15842" max="15842" width="10.42578125" style="7" bestFit="1" customWidth="1"/>
    <col min="15843" max="15843" width="58" style="7" customWidth="1"/>
    <col min="15844" max="16085" width="8.85546875" style="7"/>
    <col min="16086" max="16086" width="4.42578125" style="7" customWidth="1"/>
    <col min="16087" max="16087" width="13.7109375" style="7" customWidth="1"/>
    <col min="16088" max="16088" width="42.5703125" style="7" customWidth="1"/>
    <col min="16089" max="16089" width="5.85546875" style="7" bestFit="1" customWidth="1"/>
    <col min="16090" max="16090" width="16" style="7" bestFit="1" customWidth="1"/>
    <col min="16091" max="16091" width="17.140625" style="7" bestFit="1" customWidth="1"/>
    <col min="16092" max="16092" width="2.7109375" style="7" customWidth="1"/>
    <col min="16093" max="16093" width="3.140625" style="7" customWidth="1"/>
    <col min="16094" max="16094" width="9.7109375" style="7" customWidth="1"/>
    <col min="16095" max="16095" width="16.28515625" style="7" bestFit="1" customWidth="1"/>
    <col min="16096" max="16096" width="14.140625" style="7" customWidth="1"/>
    <col min="16097" max="16097" width="15.28515625" style="7" bestFit="1" customWidth="1"/>
    <col min="16098" max="16098" width="10.42578125" style="7" bestFit="1" customWidth="1"/>
    <col min="16099" max="16099" width="58" style="7" customWidth="1"/>
    <col min="16100" max="16384" width="8.85546875" style="7"/>
  </cols>
  <sheetData>
    <row r="1" spans="1:16" ht="23.25" hidden="1" customHeight="1" outlineLevel="1" x14ac:dyDescent="0.25">
      <c r="B1" s="57"/>
      <c r="C1" s="64"/>
      <c r="D1" s="65"/>
      <c r="F1" s="4" t="s">
        <v>1</v>
      </c>
      <c r="G1" s="107"/>
      <c r="H1" s="107"/>
      <c r="I1" s="107"/>
      <c r="J1" s="107"/>
      <c r="K1" s="108"/>
      <c r="L1" s="5" t="s">
        <v>2</v>
      </c>
      <c r="M1" s="6">
        <v>1</v>
      </c>
    </row>
    <row r="2" spans="1:16" ht="23.25" hidden="1" customHeight="1" outlineLevel="1" x14ac:dyDescent="0.25">
      <c r="B2" s="57"/>
      <c r="C2" s="66"/>
      <c r="D2" s="67"/>
      <c r="F2" s="9" t="s">
        <v>4</v>
      </c>
      <c r="G2" s="103"/>
      <c r="H2" s="103"/>
      <c r="I2" s="103"/>
      <c r="J2" s="103"/>
      <c r="K2" s="104"/>
      <c r="L2" s="5" t="s">
        <v>5</v>
      </c>
      <c r="M2" s="6">
        <v>3.75</v>
      </c>
      <c r="N2" s="21"/>
      <c r="O2" s="21"/>
      <c r="P2" s="21"/>
    </row>
    <row r="3" spans="1:16" ht="23.25" hidden="1" customHeight="1" outlineLevel="1" x14ac:dyDescent="0.25">
      <c r="B3" s="57"/>
      <c r="C3" s="68"/>
      <c r="D3" s="67"/>
      <c r="F3" s="9" t="s">
        <v>7</v>
      </c>
      <c r="G3" s="103"/>
      <c r="H3" s="103"/>
      <c r="I3" s="103"/>
      <c r="J3" s="103"/>
      <c r="K3" s="104"/>
      <c r="L3" s="10" t="s">
        <v>8</v>
      </c>
      <c r="M3" s="24">
        <v>0.6</v>
      </c>
    </row>
    <row r="4" spans="1:16" ht="23.25" hidden="1" customHeight="1" outlineLevel="1" x14ac:dyDescent="0.25">
      <c r="B4" s="57"/>
      <c r="C4" s="68"/>
      <c r="D4" s="67"/>
      <c r="F4" s="9" t="s">
        <v>10</v>
      </c>
      <c r="G4" s="103"/>
      <c r="H4" s="103"/>
      <c r="I4" s="103"/>
      <c r="J4" s="103"/>
      <c r="K4" s="104"/>
      <c r="L4" s="10" t="s">
        <v>11</v>
      </c>
      <c r="M4" s="24">
        <v>0.3</v>
      </c>
      <c r="N4" s="22"/>
      <c r="O4" s="22"/>
      <c r="P4" s="22"/>
    </row>
    <row r="5" spans="1:16" ht="23.25" hidden="1" customHeight="1" outlineLevel="1" x14ac:dyDescent="0.25">
      <c r="B5" s="57"/>
      <c r="C5" s="68"/>
      <c r="D5" s="67"/>
      <c r="F5" s="9" t="s">
        <v>13</v>
      </c>
      <c r="G5" s="103"/>
      <c r="H5" s="103"/>
      <c r="I5" s="103"/>
      <c r="J5" s="103"/>
      <c r="K5" s="104"/>
      <c r="L5" s="10" t="s">
        <v>95</v>
      </c>
      <c r="M5" s="11">
        <v>1.17</v>
      </c>
      <c r="N5" s="22"/>
      <c r="O5" s="22"/>
      <c r="P5" s="22"/>
    </row>
    <row r="6" spans="1:16" ht="23.25" hidden="1" customHeight="1" outlineLevel="1" x14ac:dyDescent="0.25">
      <c r="B6" s="57"/>
      <c r="C6" s="75"/>
      <c r="D6" s="76"/>
      <c r="F6" s="13" t="s">
        <v>15</v>
      </c>
      <c r="G6" s="105"/>
      <c r="H6" s="105"/>
      <c r="I6" s="105"/>
      <c r="J6" s="105"/>
      <c r="K6" s="106"/>
      <c r="L6" s="14"/>
      <c r="M6" s="11">
        <v>0</v>
      </c>
      <c r="N6" s="22"/>
      <c r="O6" s="22"/>
      <c r="P6" s="22"/>
    </row>
    <row r="7" spans="1:16" hidden="1" outlineLevel="1" x14ac:dyDescent="0.25">
      <c r="D7" s="27"/>
      <c r="E7" s="7"/>
      <c r="F7" s="7"/>
    </row>
    <row r="8" spans="1:16" ht="19.5" customHeight="1" collapsed="1" x14ac:dyDescent="0.25">
      <c r="D8" s="27"/>
      <c r="E8" s="7"/>
      <c r="F8" s="7"/>
    </row>
    <row r="9" spans="1:16" ht="19.5" customHeight="1" x14ac:dyDescent="0.25">
      <c r="D9" s="27"/>
      <c r="E9" s="7"/>
      <c r="F9" s="7"/>
      <c r="I9" s="15">
        <v>0.2</v>
      </c>
    </row>
    <row r="10" spans="1:16" ht="15" x14ac:dyDescent="0.25">
      <c r="A10" s="29" t="s">
        <v>100</v>
      </c>
      <c r="B10" s="29" t="s">
        <v>96</v>
      </c>
      <c r="C10" s="29" t="s">
        <v>97</v>
      </c>
      <c r="D10" s="29" t="s">
        <v>19</v>
      </c>
      <c r="E10" s="29" t="s">
        <v>99</v>
      </c>
      <c r="F10" s="29" t="s">
        <v>98</v>
      </c>
      <c r="I10" s="29" t="s">
        <v>22</v>
      </c>
      <c r="J10" s="29" t="s">
        <v>23</v>
      </c>
      <c r="K10" s="29" t="s">
        <v>24</v>
      </c>
      <c r="L10" s="29" t="s">
        <v>25</v>
      </c>
      <c r="M10" s="29" t="s">
        <v>26</v>
      </c>
      <c r="N10" s="29" t="s">
        <v>27</v>
      </c>
      <c r="O10" s="29" t="s">
        <v>28</v>
      </c>
      <c r="P10" s="29" t="s">
        <v>29</v>
      </c>
    </row>
    <row r="11" spans="1:16" ht="14.65" customHeight="1" x14ac:dyDescent="0.25">
      <c r="A11" s="36" t="s">
        <v>55</v>
      </c>
      <c r="B11" s="100"/>
      <c r="C11" s="101"/>
      <c r="D11" s="101"/>
      <c r="E11" s="101"/>
      <c r="F11" s="102"/>
      <c r="I11" s="53"/>
      <c r="J11" s="54"/>
      <c r="K11" s="54"/>
      <c r="L11" s="54"/>
      <c r="M11" s="55"/>
      <c r="N11" s="56"/>
      <c r="O11" s="56"/>
      <c r="P11" s="56"/>
    </row>
    <row r="12" spans="1:16" ht="48.75" customHeight="1" x14ac:dyDescent="0.25">
      <c r="A12" s="89">
        <v>1</v>
      </c>
      <c r="B12" s="96" t="s">
        <v>101</v>
      </c>
      <c r="C12" s="111" t="s">
        <v>102</v>
      </c>
      <c r="D12" s="94">
        <v>4</v>
      </c>
      <c r="E12" s="83">
        <f t="shared" ref="E12:E19" si="0">ROUND((K12/(1-I12)),0)</f>
        <v>157500</v>
      </c>
      <c r="F12" s="83">
        <f>D12*E12</f>
        <v>630000</v>
      </c>
      <c r="I12" s="81">
        <f>I9</f>
        <v>0.2</v>
      </c>
      <c r="J12" s="85">
        <v>0</v>
      </c>
      <c r="K12" s="85">
        <v>126000</v>
      </c>
      <c r="L12" s="85">
        <f t="shared" ref="L12" si="1">K12*D12</f>
        <v>504000</v>
      </c>
      <c r="M12" s="116"/>
      <c r="N12" s="79"/>
      <c r="O12" s="79"/>
      <c r="P12" s="79"/>
    </row>
    <row r="13" spans="1:16" ht="24" customHeight="1" x14ac:dyDescent="0.25">
      <c r="A13" s="90"/>
      <c r="B13" s="110"/>
      <c r="C13" s="112"/>
      <c r="D13" s="114"/>
      <c r="E13" s="109">
        <f t="shared" si="0"/>
        <v>0</v>
      </c>
      <c r="F13" s="109"/>
      <c r="I13" s="119"/>
      <c r="J13" s="120"/>
      <c r="K13" s="120"/>
      <c r="L13" s="120"/>
      <c r="M13" s="117"/>
      <c r="N13" s="115"/>
      <c r="O13" s="115"/>
      <c r="P13" s="115"/>
    </row>
    <row r="14" spans="1:16" ht="76.5" customHeight="1" x14ac:dyDescent="0.25">
      <c r="A14" s="90"/>
      <c r="B14" s="110"/>
      <c r="C14" s="112"/>
      <c r="D14" s="114"/>
      <c r="E14" s="109">
        <f t="shared" si="0"/>
        <v>0</v>
      </c>
      <c r="F14" s="109"/>
      <c r="I14" s="119"/>
      <c r="J14" s="120"/>
      <c r="K14" s="120"/>
      <c r="L14" s="120">
        <f t="shared" ref="L14" si="2">K14*D14</f>
        <v>0</v>
      </c>
      <c r="M14" s="117"/>
      <c r="N14" s="115"/>
      <c r="O14" s="115"/>
      <c r="P14" s="115"/>
    </row>
    <row r="15" spans="1:16" ht="15" customHeight="1" x14ac:dyDescent="0.25">
      <c r="A15" s="90"/>
      <c r="B15" s="110"/>
      <c r="C15" s="112"/>
      <c r="D15" s="114"/>
      <c r="E15" s="109">
        <f t="shared" si="0"/>
        <v>0</v>
      </c>
      <c r="F15" s="109"/>
      <c r="I15" s="119"/>
      <c r="J15" s="120"/>
      <c r="K15" s="120"/>
      <c r="L15" s="120"/>
      <c r="M15" s="117"/>
      <c r="N15" s="115"/>
      <c r="O15" s="115"/>
      <c r="P15" s="115"/>
    </row>
    <row r="16" spans="1:16" ht="65.25" customHeight="1" x14ac:dyDescent="0.25">
      <c r="A16" s="90"/>
      <c r="B16" s="110"/>
      <c r="C16" s="112"/>
      <c r="D16" s="114"/>
      <c r="E16" s="109">
        <f t="shared" si="0"/>
        <v>0</v>
      </c>
      <c r="F16" s="109"/>
      <c r="I16" s="119"/>
      <c r="J16" s="120"/>
      <c r="K16" s="120"/>
      <c r="L16" s="120">
        <f t="shared" ref="L16" si="3">K16*D16</f>
        <v>0</v>
      </c>
      <c r="M16" s="117"/>
      <c r="N16" s="115"/>
      <c r="O16" s="115"/>
      <c r="P16" s="115"/>
    </row>
    <row r="17" spans="1:19" ht="15" customHeight="1" x14ac:dyDescent="0.25">
      <c r="A17" s="90"/>
      <c r="B17" s="110"/>
      <c r="C17" s="112"/>
      <c r="D17" s="114"/>
      <c r="E17" s="109">
        <f t="shared" si="0"/>
        <v>0</v>
      </c>
      <c r="F17" s="109"/>
      <c r="I17" s="119"/>
      <c r="J17" s="120"/>
      <c r="K17" s="120"/>
      <c r="L17" s="120"/>
      <c r="M17" s="117"/>
      <c r="N17" s="115"/>
      <c r="O17" s="115"/>
      <c r="P17" s="115"/>
    </row>
    <row r="18" spans="1:19" ht="51.75" customHeight="1" x14ac:dyDescent="0.25">
      <c r="A18" s="90"/>
      <c r="B18" s="110"/>
      <c r="C18" s="112"/>
      <c r="D18" s="114"/>
      <c r="E18" s="109">
        <f t="shared" si="0"/>
        <v>0</v>
      </c>
      <c r="F18" s="109"/>
      <c r="I18" s="119"/>
      <c r="J18" s="120"/>
      <c r="K18" s="120"/>
      <c r="L18" s="120">
        <f t="shared" ref="L18" si="4">K18*D18</f>
        <v>0</v>
      </c>
      <c r="M18" s="117"/>
      <c r="N18" s="115"/>
      <c r="O18" s="115"/>
      <c r="P18" s="115"/>
    </row>
    <row r="19" spans="1:19" ht="85.5" customHeight="1" x14ac:dyDescent="0.25">
      <c r="A19" s="91"/>
      <c r="B19" s="97"/>
      <c r="C19" s="113"/>
      <c r="D19" s="95"/>
      <c r="E19" s="84">
        <f t="shared" si="0"/>
        <v>0</v>
      </c>
      <c r="F19" s="84"/>
      <c r="I19" s="82"/>
      <c r="J19" s="86"/>
      <c r="K19" s="86"/>
      <c r="L19" s="86"/>
      <c r="M19" s="118"/>
      <c r="N19" s="80"/>
      <c r="O19" s="80"/>
      <c r="P19" s="80"/>
    </row>
    <row r="20" spans="1:19" ht="14.65" customHeight="1" x14ac:dyDescent="0.25">
      <c r="A20" s="36" t="s">
        <v>65</v>
      </c>
      <c r="B20" s="61"/>
      <c r="C20" s="62"/>
      <c r="D20" s="59"/>
      <c r="E20" s="59"/>
      <c r="F20" s="60"/>
      <c r="I20" s="53"/>
      <c r="J20" s="54"/>
      <c r="K20" s="54"/>
      <c r="L20" s="54"/>
      <c r="M20" s="55"/>
      <c r="N20" s="56"/>
      <c r="O20" s="56"/>
      <c r="P20" s="56"/>
    </row>
    <row r="21" spans="1:19" ht="345" customHeight="1" x14ac:dyDescent="0.25">
      <c r="A21" s="98">
        <v>1</v>
      </c>
      <c r="B21" s="96" t="s">
        <v>104</v>
      </c>
      <c r="C21" s="92" t="s">
        <v>103</v>
      </c>
      <c r="D21" s="94">
        <v>4</v>
      </c>
      <c r="E21" s="83">
        <f t="shared" ref="E21" si="5">ROUND((K21/(1-I21)),0)</f>
        <v>157500</v>
      </c>
      <c r="F21" s="83">
        <f t="shared" ref="F21" si="6">D21*E21</f>
        <v>630000</v>
      </c>
      <c r="I21" s="81">
        <f>I9</f>
        <v>0.2</v>
      </c>
      <c r="J21" s="85">
        <v>0</v>
      </c>
      <c r="K21" s="85">
        <v>126000</v>
      </c>
      <c r="L21" s="85">
        <f>K21*D21</f>
        <v>504000</v>
      </c>
      <c r="M21" s="87">
        <v>0</v>
      </c>
      <c r="N21" s="77"/>
      <c r="O21" s="79"/>
      <c r="P21" s="79"/>
    </row>
    <row r="22" spans="1:19" ht="141.75" customHeight="1" x14ac:dyDescent="0.25">
      <c r="A22" s="99"/>
      <c r="B22" s="97"/>
      <c r="C22" s="93"/>
      <c r="D22" s="95"/>
      <c r="E22" s="84"/>
      <c r="F22" s="84"/>
      <c r="I22" s="82"/>
      <c r="J22" s="86"/>
      <c r="K22" s="86"/>
      <c r="L22" s="86"/>
      <c r="M22" s="88"/>
      <c r="N22" s="78"/>
      <c r="O22" s="80"/>
      <c r="P22" s="80"/>
    </row>
    <row r="23" spans="1:19" ht="14.1" customHeight="1" x14ac:dyDescent="0.25">
      <c r="A23" s="29"/>
      <c r="B23" s="29"/>
      <c r="C23" s="69" t="s">
        <v>30</v>
      </c>
      <c r="D23" s="70"/>
      <c r="E23" s="71"/>
      <c r="F23" s="19">
        <f>SUM(F12:F22)</f>
        <v>1260000</v>
      </c>
      <c r="I23" s="16">
        <f t="shared" ref="I23:I24" si="7">I$9</f>
        <v>0.2</v>
      </c>
      <c r="J23" s="17">
        <v>0</v>
      </c>
      <c r="K23" s="17">
        <f t="shared" ref="K23:K24" si="8">J23*$M$2*(1-M23)</f>
        <v>0</v>
      </c>
      <c r="L23" s="17">
        <f>K23</f>
        <v>0</v>
      </c>
      <c r="M23" s="18">
        <v>0</v>
      </c>
      <c r="N23" s="23"/>
      <c r="O23" s="23"/>
      <c r="P23" s="23"/>
    </row>
    <row r="24" spans="1:19" ht="13.9" customHeight="1" x14ac:dyDescent="0.25">
      <c r="A24" s="29"/>
      <c r="B24" s="29"/>
      <c r="C24" s="69" t="s">
        <v>31</v>
      </c>
      <c r="D24" s="70"/>
      <c r="E24" s="71"/>
      <c r="F24" s="19">
        <f>F23*0.15</f>
        <v>189000</v>
      </c>
      <c r="I24" s="16">
        <f t="shared" si="7"/>
        <v>0.2</v>
      </c>
      <c r="J24" s="17">
        <v>0</v>
      </c>
      <c r="K24" s="17">
        <f t="shared" si="8"/>
        <v>0</v>
      </c>
      <c r="L24" s="17">
        <f>K24</f>
        <v>0</v>
      </c>
      <c r="M24" s="18">
        <v>0</v>
      </c>
      <c r="N24" s="23"/>
      <c r="O24" s="23"/>
      <c r="P24" s="23"/>
    </row>
    <row r="25" spans="1:19" ht="13.9" customHeight="1" x14ac:dyDescent="0.25">
      <c r="A25" s="29"/>
      <c r="B25" s="29"/>
      <c r="C25" s="69" t="s">
        <v>32</v>
      </c>
      <c r="D25" s="70"/>
      <c r="E25" s="71"/>
      <c r="F25" s="19">
        <f>F23+F24</f>
        <v>1449000</v>
      </c>
      <c r="I25" s="30">
        <f>(F23-L25)/F23</f>
        <v>0.2</v>
      </c>
      <c r="J25" s="29"/>
      <c r="K25" s="29"/>
      <c r="L25" s="19">
        <f>SUM(L12:L24)</f>
        <v>1008000</v>
      </c>
      <c r="M25" s="29"/>
      <c r="N25" s="29"/>
      <c r="O25" s="29"/>
      <c r="P25" s="29"/>
      <c r="S25" s="25"/>
    </row>
    <row r="28" spans="1:19" x14ac:dyDescent="0.25">
      <c r="F28" s="58"/>
    </row>
    <row r="29" spans="1:19" x14ac:dyDescent="0.25">
      <c r="L29" s="25"/>
    </row>
    <row r="34" spans="10:11" x14ac:dyDescent="0.25">
      <c r="J34" s="25"/>
      <c r="K34" s="63"/>
    </row>
  </sheetData>
  <autoFilter ref="A10:P25" xr:uid="{1AA8C2C7-09D8-4FB6-9C31-2BD0460BA0EF}"/>
  <mergeCells count="44">
    <mergeCell ref="P12:P19"/>
    <mergeCell ref="O12:O19"/>
    <mergeCell ref="N12:N19"/>
    <mergeCell ref="M12:M19"/>
    <mergeCell ref="F12:F19"/>
    <mergeCell ref="I12:I19"/>
    <mergeCell ref="J12:J19"/>
    <mergeCell ref="K12:K19"/>
    <mergeCell ref="L12:L19"/>
    <mergeCell ref="C23:E23"/>
    <mergeCell ref="C24:E24"/>
    <mergeCell ref="C25:E25"/>
    <mergeCell ref="E12:E19"/>
    <mergeCell ref="B12:B19"/>
    <mergeCell ref="C12:C19"/>
    <mergeCell ref="D12:D19"/>
    <mergeCell ref="E21:E22"/>
    <mergeCell ref="C1:D1"/>
    <mergeCell ref="G1:K1"/>
    <mergeCell ref="C2:D2"/>
    <mergeCell ref="G2:K2"/>
    <mergeCell ref="C3:D3"/>
    <mergeCell ref="G3:K3"/>
    <mergeCell ref="B11:F11"/>
    <mergeCell ref="C4:D4"/>
    <mergeCell ref="G4:K4"/>
    <mergeCell ref="C5:D5"/>
    <mergeCell ref="G5:K5"/>
    <mergeCell ref="C6:D6"/>
    <mergeCell ref="G6:K6"/>
    <mergeCell ref="A12:A19"/>
    <mergeCell ref="C21:C22"/>
    <mergeCell ref="D21:D22"/>
    <mergeCell ref="B21:B22"/>
    <mergeCell ref="A21:A22"/>
    <mergeCell ref="N21:N22"/>
    <mergeCell ref="O21:O22"/>
    <mergeCell ref="P21:P22"/>
    <mergeCell ref="I21:I22"/>
    <mergeCell ref="F21:F22"/>
    <mergeCell ref="J21:J22"/>
    <mergeCell ref="K21:K22"/>
    <mergeCell ref="L21:L22"/>
    <mergeCell ref="M21:M22"/>
  </mergeCells>
  <printOptions horizontalCentered="1" verticalCentered="1"/>
  <pageMargins left="0.25" right="0" top="0.75" bottom="0.75" header="0.3" footer="0.3"/>
  <pageSetup paperSize="9" scale="42" fitToHeight="0" orientation="portrait" r:id="rId1"/>
  <headerFooter alignWithMargins="0">
    <oddFooter>&amp;L&amp;P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59B98-E533-4690-AAA3-7A9DC3FF1AE6}">
  <dimension ref="A3:C20"/>
  <sheetViews>
    <sheetView workbookViewId="0">
      <selection activeCell="B24" sqref="B24"/>
    </sheetView>
  </sheetViews>
  <sheetFormatPr defaultRowHeight="15" x14ac:dyDescent="0.25"/>
  <cols>
    <col min="2" max="2" width="255.7109375" bestFit="1" customWidth="1"/>
    <col min="3" max="3" width="10.42578125" bestFit="1" customWidth="1"/>
  </cols>
  <sheetData>
    <row r="3" spans="1:3" x14ac:dyDescent="0.25">
      <c r="A3" s="52" t="s">
        <v>17</v>
      </c>
      <c r="B3" s="52" t="s">
        <v>18</v>
      </c>
      <c r="C3" t="s">
        <v>90</v>
      </c>
    </row>
    <row r="4" spans="1:3" x14ac:dyDescent="0.25">
      <c r="A4" t="s">
        <v>74</v>
      </c>
      <c r="B4" t="s">
        <v>75</v>
      </c>
      <c r="C4">
        <v>1</v>
      </c>
    </row>
    <row r="5" spans="1:3" x14ac:dyDescent="0.25">
      <c r="A5" t="s">
        <v>49</v>
      </c>
      <c r="B5" t="s">
        <v>50</v>
      </c>
      <c r="C5">
        <v>5</v>
      </c>
    </row>
    <row r="6" spans="1:3" x14ac:dyDescent="0.25">
      <c r="A6" t="s">
        <v>51</v>
      </c>
      <c r="B6" t="s">
        <v>52</v>
      </c>
      <c r="C6">
        <v>2</v>
      </c>
    </row>
    <row r="7" spans="1:3" x14ac:dyDescent="0.25">
      <c r="A7" t="s">
        <v>86</v>
      </c>
      <c r="B7" t="s">
        <v>87</v>
      </c>
      <c r="C7">
        <v>9</v>
      </c>
    </row>
    <row r="8" spans="1:3" x14ac:dyDescent="0.25">
      <c r="A8" t="s">
        <v>84</v>
      </c>
      <c r="B8" t="s">
        <v>91</v>
      </c>
      <c r="C8">
        <v>1</v>
      </c>
    </row>
    <row r="9" spans="1:3" x14ac:dyDescent="0.25">
      <c r="A9" t="s">
        <v>39</v>
      </c>
      <c r="B9" t="s">
        <v>40</v>
      </c>
      <c r="C9">
        <v>4</v>
      </c>
    </row>
    <row r="10" spans="1:3" x14ac:dyDescent="0.25">
      <c r="A10" t="s">
        <v>43</v>
      </c>
      <c r="B10" t="s">
        <v>44</v>
      </c>
      <c r="C10">
        <v>7</v>
      </c>
    </row>
    <row r="11" spans="1:3" x14ac:dyDescent="0.25">
      <c r="A11" t="s">
        <v>93</v>
      </c>
      <c r="B11" t="s">
        <v>36</v>
      </c>
      <c r="C11">
        <v>7</v>
      </c>
    </row>
    <row r="12" spans="1:3" x14ac:dyDescent="0.25">
      <c r="A12" t="s">
        <v>41</v>
      </c>
      <c r="B12" t="s">
        <v>42</v>
      </c>
      <c r="C12">
        <v>6</v>
      </c>
    </row>
    <row r="13" spans="1:3" x14ac:dyDescent="0.25">
      <c r="A13" t="s">
        <v>94</v>
      </c>
      <c r="B13" t="s">
        <v>34</v>
      </c>
      <c r="C13">
        <v>4</v>
      </c>
    </row>
    <row r="14" spans="1:3" x14ac:dyDescent="0.25">
      <c r="A14" t="s">
        <v>47</v>
      </c>
      <c r="B14" t="s">
        <v>48</v>
      </c>
      <c r="C14">
        <v>3</v>
      </c>
    </row>
    <row r="15" spans="1:3" x14ac:dyDescent="0.25">
      <c r="A15" t="s">
        <v>45</v>
      </c>
      <c r="B15" t="s">
        <v>46</v>
      </c>
      <c r="C15">
        <v>2</v>
      </c>
    </row>
    <row r="16" spans="1:3" x14ac:dyDescent="0.25">
      <c r="A16" t="s">
        <v>37</v>
      </c>
      <c r="B16" t="s">
        <v>38</v>
      </c>
      <c r="C16">
        <v>17</v>
      </c>
    </row>
    <row r="17" spans="1:3" x14ac:dyDescent="0.25">
      <c r="A17" t="s">
        <v>63</v>
      </c>
      <c r="B17" t="s">
        <v>64</v>
      </c>
      <c r="C17">
        <v>1</v>
      </c>
    </row>
    <row r="18" spans="1:3" x14ac:dyDescent="0.25">
      <c r="A18" t="s">
        <v>80</v>
      </c>
      <c r="B18" t="s">
        <v>81</v>
      </c>
      <c r="C18">
        <v>1</v>
      </c>
    </row>
    <row r="19" spans="1:3" x14ac:dyDescent="0.25">
      <c r="A19" t="s">
        <v>77</v>
      </c>
      <c r="B19" t="s">
        <v>78</v>
      </c>
      <c r="C19">
        <v>2</v>
      </c>
    </row>
    <row r="20" spans="1:3" x14ac:dyDescent="0.25">
      <c r="A20" t="s">
        <v>92</v>
      </c>
      <c r="C20">
        <v>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415EA0A1C59346BCAF8C0E038F3677" ma:contentTypeVersion="3" ma:contentTypeDescription="Create a new document." ma:contentTypeScope="" ma:versionID="1945876f77e5036746465e3b1e4a31da">
  <xsd:schema xmlns:xsd="http://www.w3.org/2001/XMLSchema" xmlns:xs="http://www.w3.org/2001/XMLSchema" xmlns:p="http://schemas.microsoft.com/office/2006/metadata/properties" xmlns:ns2="fc69462c-4dd8-41ee-a4f7-a595d1f86463" targetNamespace="http://schemas.microsoft.com/office/2006/metadata/properties" ma:root="true" ma:fieldsID="7192f327539780e06d3b127804f3e5c0" ns2:_="">
    <xsd:import namespace="fc69462c-4dd8-41ee-a4f7-a595d1f8646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69462c-4dd8-41ee-a4f7-a595d1f864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E84B436-12BF-46CA-96A3-9BD1609BCD12}"/>
</file>

<file path=customXml/itemProps2.xml><?xml version="1.0" encoding="utf-8"?>
<ds:datastoreItem xmlns:ds="http://schemas.openxmlformats.org/officeDocument/2006/customXml" ds:itemID="{809017D5-0D34-4AFF-871C-87F36F424E75}"/>
</file>

<file path=customXml/itemProps3.xml><?xml version="1.0" encoding="utf-8"?>
<ds:datastoreItem xmlns:ds="http://schemas.openxmlformats.org/officeDocument/2006/customXml" ds:itemID="{698CAE6D-441B-4FB8-9731-0A63122EB7D2}"/>
</file>

<file path=docMetadata/LabelInfo.xml><?xml version="1.0" encoding="utf-8"?>
<clbl:labelList xmlns:clbl="http://schemas.microsoft.com/office/2020/mipLabelMetadata">
  <clbl:label id="{072e518d-1891-41a5-be77-916c6272771a}" enabled="0" method="" siteId="{072e518d-1891-41a5-be77-916c6272771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BoQ</vt:lpstr>
      <vt:lpstr>BoQ (V1) </vt:lpstr>
      <vt:lpstr>Sheet3</vt:lpstr>
      <vt:lpstr>BoQ!Print_Area</vt:lpstr>
      <vt:lpstr>'BoQ (V1)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Ahmed Hamdy</dc:creator>
  <cp:keywords/>
  <dc:description/>
  <cp:lastModifiedBy>Mohamed Ali</cp:lastModifiedBy>
  <cp:revision/>
  <cp:lastPrinted>2025-06-18T14:37:02Z</cp:lastPrinted>
  <dcterms:created xsi:type="dcterms:W3CDTF">2014-12-08T07:38:15Z</dcterms:created>
  <dcterms:modified xsi:type="dcterms:W3CDTF">2025-09-16T09:28:56Z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0x01010032415EA0A1C59346BCAF8C0E038F3677</vt:lpwstr>
  </property>
</Properties>
</file>